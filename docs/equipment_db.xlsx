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보기" sheetId="1" state="visible" r:id="rId3"/>
    <sheet name="등급" sheetId="2" state="visible" r:id="rId4"/>
    <sheet name="스탯" sheetId="3" state="visible" r:id="rId5"/>
    <sheet name="장비_기본" sheetId="4" state="visible" r:id="rId6"/>
    <sheet name="장비_등급별" sheetId="5" state="visible" r:id="rId7"/>
    <sheet name="추가옵션" sheetId="6" state="visible" r:id="rId8"/>
    <sheet name="직업특성스탯" sheetId="7" state="visible" r:id="rId9"/>
    <sheet name="스킬보너스" sheetId="8" state="visible" r:id="rId10"/>
    <sheet name="보석" sheetId="9" state="visible" r:id="rId11"/>
    <sheet name="난이도" sheetId="10" state="visible" r:id="rId12"/>
    <sheet name="드랍테이블" sheetId="11" state="visible" r:id="rId13"/>
    <sheet name="갑옷패시브" sheetId="12" state="visible" r:id="rId14"/>
    <sheet name="강화" sheetId="13" state="visible" r:id="rId15"/>
    <sheet name="밸런스분석" sheetId="14" state="visible" r:id="rId16"/>
  </sheets>
  <definedNames>
    <definedName function="false" hidden="true" localSheetId="4" name="_xlnm._FilterDatabase" vbProcedure="false">장비_등급별!$A$4:$N$396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 </t>
        </r>
        <r>
          <rPr>
            <sz val="10"/>
            <rFont val="WenQuanYi Zen Hei"/>
            <family val="2"/>
          </rPr>
          <t xml:space="preserve">특성 스탯 </t>
        </r>
        <r>
          <rPr>
            <sz val="10"/>
            <rFont val="Arial"/>
            <family val="2"/>
          </rPr>
          <t xml:space="preserve">= L </t>
        </r>
        <r>
          <rPr>
            <sz val="10"/>
            <rFont val="WenQuanYi Zen Hei"/>
            <family val="2"/>
          </rPr>
          <t xml:space="preserve">값</t>
        </r>
        <r>
          <rPr>
            <sz val="10"/>
            <rFont val="Arial"/>
            <family val="2"/>
          </rPr>
          <t xml:space="preserve">. E</t>
        </r>
        <r>
          <rPr>
            <sz val="10"/>
            <rFont val="WenQuanYi Zen Hei"/>
            <family val="2"/>
          </rPr>
          <t xml:space="preserve">가 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부위 이상 겹치면 특성 스탯이 상한을 넘기 때문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밸런스 분석 결과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tools/equip_balance.cjs --calibrate (</t>
        </r>
        <r>
          <rPr>
            <sz val="10"/>
            <rFont val="WenQuanYi Zen Hei"/>
            <family val="2"/>
          </rPr>
          <t xml:space="preserve">시드 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WenQuanYi Zen Hei"/>
            <family val="2"/>
          </rPr>
          <t xml:space="preserve">개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WenQuanYi Zen Hei"/>
            <family val="2"/>
          </rPr>
          <t xml:space="preserve">조합</t>
        </r>
        <r>
          <rPr>
            <sz val="10"/>
            <rFont val="Arial"/>
            <family val="2"/>
          </rPr>
          <t xml:space="preserve">): </t>
        </r>
        <r>
          <rPr>
            <sz val="10"/>
            <rFont val="WenQuanYi Zen Hei"/>
            <family val="2"/>
          </rPr>
          <t xml:space="preserve">적 배율을 이분 탐색해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WenQuanYi Zen Hei"/>
            <family val="2"/>
          </rPr>
          <t xml:space="preserve">스테이지 일반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정예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보스 평균 승률이 </t>
        </r>
        <r>
          <rPr>
            <sz val="10"/>
            <rFont val="Arial"/>
            <family val="2"/>
          </rPr>
          <t xml:space="preserve">85%</t>
        </r>
        <r>
          <rPr>
            <sz val="10"/>
            <rFont val="WenQuanYi Zen Hei"/>
            <family val="2"/>
          </rPr>
          <t xml:space="preserve">가 되는 값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시드 수가 적어 잡음이 있어 </t>
        </r>
        <r>
          <rPr>
            <sz val="10"/>
            <rFont val="Arial"/>
            <family val="2"/>
          </rPr>
          <t xml:space="preserve">G</t>
        </r>
        <r>
          <rPr>
            <sz val="10"/>
            <rFont val="WenQuanYi Zen Hei"/>
            <family val="2"/>
          </rPr>
          <t xml:space="preserve">열 회귀 곡선을 채택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<sst xmlns="http://schemas.openxmlformats.org/spreadsheetml/2006/main" count="1994" uniqueCount="613">
  <si>
    <r>
      <rPr>
        <b val="true"/>
        <sz val="14"/>
        <rFont val="WenQuanYi Zen Hei"/>
        <family val="2"/>
      </rPr>
      <t xml:space="preserve">숲속 원정대 — 장비 </t>
    </r>
    <r>
      <rPr>
        <b val="true"/>
        <sz val="14"/>
        <rFont val="Arial"/>
        <family val="0"/>
        <charset val="1"/>
      </rPr>
      <t xml:space="preserve">DB (1</t>
    </r>
    <r>
      <rPr>
        <b val="true"/>
        <sz val="14"/>
        <rFont val="WenQuanYi Zen Hei"/>
        <family val="2"/>
      </rPr>
      <t xml:space="preserve">단계</t>
    </r>
    <r>
      <rPr>
        <b val="true"/>
        <sz val="14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</si>
  <si>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규칙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요청 사양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</si>
  <si>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단계</t>
    </r>
    <r>
      <rPr>
        <sz val="11"/>
        <rFont val="Arial"/>
        <family val="0"/>
        <charset val="1"/>
      </rPr>
      <t xml:space="preserve">: UC &lt; C &lt; R &lt; SR &lt; SSR &lt; UR &lt; Legend(L) &lt; Elder(E).</t>
    </r>
  </si>
  <si>
    <r>
      <rPr>
        <sz val="11"/>
        <rFont val="WenQuanYi Zen Hei"/>
        <family val="2"/>
      </rPr>
      <t xml:space="preserve">부위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직업별 무기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갑옷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소울 메달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공통 반지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목걸이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벨트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</si>
  <si>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직업 무기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갑옷은 직업에 맞는 주 스탯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고유 스킬 효과가 붙는다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추가 옵션은 </t>
    </r>
    <r>
      <rPr>
        <sz val="11"/>
        <rFont val="Arial"/>
        <family val="0"/>
        <charset val="1"/>
      </rPr>
      <t xml:space="preserve">R</t>
    </r>
    <r>
      <rPr>
        <sz val="11"/>
        <rFont val="WenQuanYi Zen Hei"/>
        <family val="2"/>
      </rPr>
      <t xml:space="preserve">부터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개씩 늘어 </t>
    </r>
    <r>
      <rPr>
        <sz val="11"/>
        <rFont val="Arial"/>
        <family val="0"/>
        <charset val="1"/>
      </rPr>
      <t xml:space="preserve">UR</t>
    </r>
    <r>
      <rPr>
        <sz val="11"/>
        <rFont val="WenQuanYi Zen Hei"/>
        <family val="2"/>
      </rPr>
      <t xml:space="preserve">에서 최대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개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</si>
  <si>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L: </t>
    </r>
    <r>
      <rPr>
        <sz val="11"/>
        <rFont val="WenQuanYi Zen Hei"/>
        <family val="2"/>
      </rPr>
      <t xml:space="preserve">보석 슬롯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 </t>
    </r>
    <r>
      <rPr>
        <sz val="11"/>
        <rFont val="Arial"/>
        <family val="0"/>
        <charset val="1"/>
      </rPr>
      <t xml:space="preserve">+ (</t>
    </r>
    <r>
      <rPr>
        <sz val="11"/>
        <rFont val="WenQuanYi Zen Hei"/>
        <family val="2"/>
      </rPr>
      <t xml:space="preserve">직업 특성 스탯 또는 스킬 보너스</t>
    </r>
    <r>
      <rPr>
        <sz val="11"/>
        <rFont val="Arial"/>
        <family val="0"/>
        <charset val="1"/>
      </rPr>
      <t xml:space="preserve">) 0~1</t>
    </r>
    <r>
      <rPr>
        <sz val="11"/>
        <rFont val="WenQuanYi Zen Hei"/>
        <family val="2"/>
      </rPr>
      <t xml:space="preserve">개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</si>
  <si>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E: </t>
    </r>
    <r>
      <rPr>
        <sz val="11"/>
        <rFont val="WenQuanYi Zen Hei"/>
        <family val="2"/>
      </rPr>
      <t xml:space="preserve">보석 슬롯 </t>
    </r>
    <r>
      <rPr>
        <sz val="11"/>
        <rFont val="Arial"/>
        <family val="0"/>
        <charset val="1"/>
      </rPr>
      <t xml:space="preserve">1~3</t>
    </r>
    <r>
      <rPr>
        <sz val="11"/>
        <rFont val="WenQuanYi Zen Hei"/>
        <family val="2"/>
      </rPr>
      <t xml:space="preserve">개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직업 특성 스탯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스킬 보너스 </t>
    </r>
    <r>
      <rPr>
        <sz val="11"/>
        <rFont val="Arial"/>
        <family val="0"/>
        <charset val="1"/>
      </rPr>
      <t xml:space="preserve">0~2</t>
    </r>
    <r>
      <rPr>
        <sz val="11"/>
        <rFont val="WenQuanYi Zen Hei"/>
        <family val="2"/>
      </rPr>
      <t xml:space="preserve">개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</si>
  <si>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보석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각 스테이지 보스 처치 보상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등급별 효과 개수 </t>
    </r>
    <r>
      <rPr>
        <sz val="11"/>
        <rFont val="Arial"/>
        <family val="0"/>
        <charset val="1"/>
      </rPr>
      <t xml:space="preserve">R</t>
    </r>
    <r>
      <rPr>
        <sz val="11"/>
        <rFont val="WenQuanYi Zen Hei"/>
        <family val="2"/>
      </rPr>
      <t xml:space="preserve">까지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 </t>
    </r>
    <r>
      <rPr>
        <sz val="11"/>
        <rFont val="Arial"/>
        <family val="0"/>
        <charset val="1"/>
      </rPr>
      <t xml:space="preserve">· UR</t>
    </r>
    <r>
      <rPr>
        <sz val="11"/>
        <rFont val="WenQuanYi Zen Hei"/>
        <family val="2"/>
      </rPr>
      <t xml:space="preserve">까지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개 </t>
    </r>
    <r>
      <rPr>
        <sz val="11"/>
        <rFont val="Arial"/>
        <family val="0"/>
        <charset val="1"/>
      </rPr>
      <t xml:space="preserve">· E</t>
    </r>
    <r>
      <rPr>
        <sz val="11"/>
        <rFont val="WenQuanYi Zen Hei"/>
        <family val="2"/>
      </rPr>
      <t xml:space="preserve">까지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개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</si>
  <si>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밸런스 원칙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전략 </t>
    </r>
    <r>
      <rPr>
        <b val="true"/>
        <sz val="11"/>
        <rFont val="Arial"/>
        <family val="0"/>
        <charset val="1"/>
      </rPr>
      <t xml:space="preserve">RPG)</t>
    </r>
  </si>
  <si>
    <r>
      <rPr>
        <sz val="11"/>
        <rFont val="WenQuanYi Zen Hei"/>
        <family val="2"/>
      </rPr>
      <t xml:space="preserve">큰 적은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방어 태세</t>
    </r>
    <r>
      <rPr>
        <sz val="11"/>
        <rFont val="Arial"/>
        <family val="0"/>
        <charset val="1"/>
      </rPr>
      <t xml:space="preserve">](</t>
    </r>
    <r>
      <rPr>
        <sz val="11"/>
        <rFont val="WenQuanYi Zen Hei"/>
        <family val="2"/>
      </rPr>
      <t xml:space="preserve">받는 피해 감소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와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그로기 게이지</t>
    </r>
    <r>
      <rPr>
        <sz val="11"/>
        <rFont val="Arial"/>
        <family val="0"/>
        <charset val="1"/>
      </rPr>
      <t xml:space="preserve">]</t>
    </r>
    <r>
      <rPr>
        <sz val="11"/>
        <rFont val="WenQuanYi Zen Hei"/>
        <family val="2"/>
      </rPr>
      <t xml:space="preserve">를 가진다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기절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스킬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차지 끊기로 게이지를 깎으면 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초간 무방비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방어 해제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받는 피해 </t>
    </r>
    <r>
      <rPr>
        <sz val="11"/>
        <rFont val="Arial"/>
        <family val="0"/>
        <charset val="1"/>
      </rPr>
      <t xml:space="preserve">+50%).</t>
    </r>
  </si>
  <si>
    <r>
      <rPr>
        <sz val="11"/>
        <rFont val="WenQuanYi Zen Hei"/>
        <family val="2"/>
      </rPr>
      <t xml:space="preserve">→ 비슷한 등급에서는 딜만 올려 밀어붙이는 플레이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딜찍누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보다 기믹 공략이 확실히 유리하도록 조정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딜만으로 이기려면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등급 이상 차이가 필요하도록 목표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</si>
  <si>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→ 추가 옵션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보석에 공략 스탯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그로기 피해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그로기 적 피해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기절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도발 지속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을 넣어 장비로도 공략 빌드를 만들 수 있게 함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</si>
  <si>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→ 순수 딜 옵션은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줄당 전투력 약 </t>
    </r>
    <r>
      <rPr>
        <sz val="11"/>
        <rFont val="Arial"/>
        <family val="0"/>
        <charset val="1"/>
      </rPr>
      <t xml:space="preserve">1.1%, </t>
    </r>
    <r>
      <rPr>
        <sz val="11"/>
        <rFont val="WenQuanYi Zen Hei"/>
        <family val="2"/>
      </rPr>
      <t xml:space="preserve">생존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공략 옵션은 약 </t>
    </r>
    <r>
      <rPr>
        <sz val="11"/>
        <rFont val="Arial"/>
        <family val="0"/>
        <charset val="1"/>
      </rPr>
      <t xml:space="preserve">1.5%</t>
    </r>
    <r>
      <rPr>
        <sz val="11"/>
        <rFont val="WenQuanYi Zen Hei"/>
        <family val="2"/>
      </rPr>
      <t xml:space="preserve">로 책정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딜 옵션이 더 약함</t>
    </r>
    <r>
      <rPr>
        <sz val="11"/>
        <rFont val="Arial"/>
        <family val="0"/>
        <charset val="1"/>
      </rPr>
      <t xml:space="preserve">).</t>
    </r>
  </si>
  <si>
    <t xml:space="preserve">시트 안내</t>
  </si>
  <si>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스탯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장비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기본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추가옵션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직업특성스탯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스킬보너스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보석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난이도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드랍테이블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원본 데이터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파란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수정 가능한 입력값</t>
    </r>
    <r>
      <rPr>
        <sz val="11"/>
        <rFont val="Arial"/>
        <family val="0"/>
        <charset val="1"/>
      </rPr>
      <t xml:space="preserve">).</t>
    </r>
  </si>
  <si>
    <r>
      <rPr>
        <sz val="11"/>
        <rFont val="WenQuanYi Zen Hei"/>
        <family val="2"/>
      </rPr>
      <t xml:space="preserve">장비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등급별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장비 </t>
    </r>
    <r>
      <rPr>
        <sz val="11"/>
        <rFont val="Arial"/>
        <family val="0"/>
        <charset val="1"/>
      </rPr>
      <t xml:space="preserve">49</t>
    </r>
    <r>
      <rPr>
        <sz val="11"/>
        <rFont val="WenQuanYi Zen Hei"/>
        <family val="2"/>
      </rPr>
      <t xml:space="preserve">종 </t>
    </r>
    <r>
      <rPr>
        <sz val="11"/>
        <rFont val="Arial"/>
        <family val="0"/>
        <charset val="1"/>
      </rPr>
      <t xml:space="preserve">× 8</t>
    </r>
    <r>
      <rPr>
        <sz val="11"/>
        <rFont val="WenQuanYi Zen Hei"/>
        <family val="2"/>
      </rPr>
      <t xml:space="preserve">등급의 실제 수치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모두 수식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장비</t>
    </r>
    <r>
      <rPr>
        <sz val="11"/>
        <rFont val="Arial"/>
        <family val="0"/>
        <charset val="1"/>
      </rPr>
      <t xml:space="preserve">_</t>
    </r>
    <r>
      <rPr>
        <sz val="11"/>
        <rFont val="WenQuanYi Zen Hei"/>
        <family val="2"/>
      </rPr>
      <t xml:space="preserve">기본 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등급 배율</t>
    </r>
    <r>
      <rPr>
        <sz val="11"/>
        <rFont val="Arial"/>
        <family val="0"/>
        <charset val="1"/>
      </rPr>
      <t xml:space="preserve">) — </t>
    </r>
    <r>
      <rPr>
        <sz val="11"/>
        <rFont val="WenQuanYi Zen Hei"/>
        <family val="2"/>
      </rPr>
      <t xml:space="preserve">입력값을 바꾸면 자동 갱신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</si>
  <si>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밸런스분석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등급별 전투력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옵션 공정성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누적 상한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전투 시뮬 승률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기믹 공략 </t>
    </r>
    <r>
      <rPr>
        <sz val="11"/>
        <rFont val="Arial"/>
        <family val="0"/>
        <charset val="1"/>
      </rPr>
      <t xml:space="preserve">vs </t>
    </r>
    <r>
      <rPr>
        <sz val="11"/>
        <rFont val="WenQuanYi Zen Hei"/>
        <family val="2"/>
      </rPr>
      <t xml:space="preserve">딜만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딜찍누 지수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시뮬 결과는 </t>
    </r>
    <r>
      <rPr>
        <sz val="11"/>
        <rFont val="Arial"/>
        <family val="0"/>
        <charset val="1"/>
      </rPr>
      <t xml:space="preserve">tools/equip_balance.cjs </t>
    </r>
    <r>
      <rPr>
        <sz val="11"/>
        <rFont val="WenQuanYi Zen Hei"/>
        <family val="2"/>
      </rPr>
      <t xml:space="preserve">실행 결과 값</t>
    </r>
    <r>
      <rPr>
        <sz val="11"/>
        <rFont val="Arial"/>
        <family val="0"/>
        <charset val="1"/>
      </rPr>
      <t xml:space="preserve">.</t>
    </r>
  </si>
  <si>
    <t xml:space="preserve">색 규칙</t>
  </si>
  <si>
    <r>
      <rPr>
        <sz val="11"/>
        <rFont val="WenQuanYi Zen Hei"/>
        <family val="2"/>
      </rPr>
      <t xml:space="preserve">파란 글씨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입력값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검정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수식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초록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다른 시트 참조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노란 칸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핵심 가정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</si>
  <si>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가정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확인이 필요한 점</t>
    </r>
  </si>
  <si>
    <r>
      <rPr>
        <sz val="11"/>
        <rFont val="Arial"/>
        <family val="0"/>
        <charset val="1"/>
      </rPr>
      <t xml:space="preserve">1) </t>
    </r>
    <r>
      <rPr>
        <sz val="11"/>
        <rFont val="WenQuanYi Zen Hei"/>
        <family val="2"/>
      </rPr>
      <t xml:space="preserve">등급 순서는 요청에 적힌 순서대로 </t>
    </r>
    <r>
      <rPr>
        <sz val="11"/>
        <rFont val="Arial"/>
        <family val="0"/>
        <charset val="1"/>
      </rPr>
      <t xml:space="preserve">UC</t>
    </r>
    <r>
      <rPr>
        <sz val="11"/>
        <rFont val="WenQuanYi Zen Hei"/>
        <family val="2"/>
      </rPr>
      <t xml:space="preserve">를 최하위로 두었다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일반적으로는 </t>
    </r>
    <r>
      <rPr>
        <sz val="11"/>
        <rFont val="Arial"/>
        <family val="0"/>
        <charset val="1"/>
      </rPr>
      <t xml:space="preserve">C &lt; UC</t>
    </r>
    <r>
      <rPr>
        <sz val="11"/>
        <rFont val="WenQuanYi Zen Hei"/>
        <family val="2"/>
      </rPr>
      <t xml:space="preserve">인 경우도 있음</t>
    </r>
    <r>
      <rPr>
        <sz val="11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</si>
  <si>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2) L·E</t>
    </r>
    <r>
      <rPr>
        <sz val="11"/>
        <rFont val="WenQuanYi Zen Hei"/>
        <family val="2"/>
      </rPr>
      <t xml:space="preserve">도 추가 옵션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개를 유지 </t>
    </r>
    <r>
      <rPr>
        <sz val="11"/>
        <rFont val="Arial"/>
        <family val="0"/>
        <charset val="1"/>
      </rPr>
      <t xml:space="preserve">(UR </t>
    </r>
    <r>
      <rPr>
        <sz val="11"/>
        <rFont val="WenQuanYi Zen Hei"/>
        <family val="2"/>
      </rPr>
      <t xml:space="preserve">최대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개 규칙의 연장</t>
    </r>
    <r>
      <rPr>
        <sz val="11"/>
        <rFont val="Arial"/>
        <family val="0"/>
        <charset val="1"/>
      </rPr>
      <t xml:space="preserve">). L·E</t>
    </r>
    <r>
      <rPr>
        <sz val="11"/>
        <rFont val="WenQuanYi Zen Hei"/>
        <family val="2"/>
      </rPr>
      <t xml:space="preserve">의 차별점은 보석 슬롯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특성 스탯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스킬 보너스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</si>
  <si>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3) </t>
    </r>
    <r>
      <rPr>
        <sz val="11"/>
        <rFont val="WenQuanYi Zen Hei"/>
        <family val="2"/>
      </rPr>
      <t xml:space="preserve">공통 장신구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반지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목걸이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벨트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의 </t>
    </r>
    <r>
      <rPr>
        <sz val="11"/>
        <rFont val="Arial"/>
        <family val="0"/>
        <charset val="1"/>
      </rPr>
      <t xml:space="preserve">L·E </t>
    </r>
    <r>
      <rPr>
        <sz val="11"/>
        <rFont val="WenQuanYi Zen Hei"/>
        <family val="2"/>
      </rPr>
      <t xml:space="preserve">직업 특성 스탯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스킬 보너스는 착용한 캐릭터의 직업 기준으로 붙는다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</si>
  <si>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4) </t>
    </r>
    <r>
      <rPr>
        <sz val="11"/>
        <rFont val="WenQuanYi Zen Hei"/>
        <family val="2"/>
      </rPr>
      <t xml:space="preserve">소울 메달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직업 특성 스탯 </t>
    </r>
    <r>
      <rPr>
        <sz val="11"/>
        <rFont val="Arial"/>
        <family val="0"/>
        <charset val="1"/>
      </rPr>
      <t xml:space="preserve">+ ①(</t>
    </r>
    <r>
      <rPr>
        <sz val="11"/>
        <rFont val="WenQuanYi Zen Hei"/>
        <family val="2"/>
      </rPr>
      <t xml:space="preserve">갑옷</t>
    </r>
    <r>
      <rPr>
        <sz val="11"/>
        <rFont val="Arial"/>
        <family val="0"/>
        <charset val="1"/>
      </rPr>
      <t xml:space="preserve">)·②(</t>
    </r>
    <r>
      <rPr>
        <sz val="11"/>
        <rFont val="WenQuanYi Zen Hei"/>
        <family val="2"/>
      </rPr>
      <t xml:space="preserve">무기</t>
    </r>
    <r>
      <rPr>
        <sz val="11"/>
        <rFont val="Arial"/>
        <family val="0"/>
        <charset val="1"/>
      </rPr>
      <t xml:space="preserve">) </t>
    </r>
    <r>
      <rPr>
        <sz val="11"/>
        <rFont val="WenQuanYi Zen Hei"/>
        <family val="2"/>
      </rPr>
      <t xml:space="preserve">스킬 위력 강화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필살기 변형은 캐릭터 중복 돌파로 이동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메달의 최종 역할은 </t>
    </r>
    <r>
      <rPr>
        <sz val="11"/>
        <rFont val="Arial"/>
        <family val="0"/>
        <charset val="1"/>
      </rPr>
      <t xml:space="preserve">docs/GAME_DESIGN.md 8</t>
    </r>
    <r>
      <rPr>
        <sz val="11"/>
        <rFont val="WenQuanYi Zen Hei"/>
        <family val="2"/>
      </rPr>
      <t xml:space="preserve">장에 보류 안으로 기록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</si>
  <si>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5) </t>
    </r>
    <r>
      <rPr>
        <sz val="11"/>
        <rFont val="WenQuanYi Zen Hei"/>
        <family val="2"/>
      </rPr>
      <t xml:space="preserve">장비가 원정 사이에 유지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영구 성장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된다고 가정 → 적 강함을 </t>
    </r>
    <r>
      <rPr>
        <sz val="11"/>
        <rFont val="Arial"/>
        <family val="0"/>
        <charset val="1"/>
      </rPr>
      <t xml:space="preserve">8</t>
    </r>
    <r>
      <rPr>
        <sz val="11"/>
        <rFont val="WenQuanYi Zen Hei"/>
        <family val="2"/>
      </rPr>
      <t xml:space="preserve">단계 난이도로 나눔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난이도 시트</t>
    </r>
    <r>
      <rPr>
        <sz val="11"/>
        <rFont val="Arial"/>
        <family val="0"/>
        <charset val="1"/>
      </rPr>
      <t xml:space="preserve">). </t>
    </r>
    <r>
      <rPr>
        <sz val="11"/>
        <rFont val="WenQuanYi Zen Hei"/>
        <family val="2"/>
      </rPr>
      <t xml:space="preserve">데모의 기본 던전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견습</t>
    </r>
    <r>
      <rPr>
        <sz val="11"/>
        <rFont val="Arial"/>
        <family val="0"/>
        <charset val="1"/>
      </rPr>
      <t xml:space="preserve">(T1) </t>
    </r>
    <r>
      <rPr>
        <sz val="11"/>
        <rFont val="WenQuanYi Zen Hei"/>
        <family val="2"/>
      </rPr>
      <t xml:space="preserve">아래 단계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</si>
  <si>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6) "</t>
    </r>
    <r>
      <rPr>
        <sz val="11"/>
        <rFont val="WenQuanYi Zen Hei"/>
        <family val="2"/>
      </rPr>
      <t xml:space="preserve">각 스테이지 보스</t>
    </r>
    <r>
      <rPr>
        <sz val="11"/>
        <rFont val="Arial"/>
        <family val="0"/>
        <charset val="1"/>
      </rPr>
      <t xml:space="preserve">" — </t>
    </r>
    <r>
      <rPr>
        <sz val="11"/>
        <rFont val="WenQuanYi Zen Hei"/>
        <family val="2"/>
      </rPr>
      <t xml:space="preserve">현재 데모는 </t>
    </r>
    <r>
      <rPr>
        <sz val="11"/>
        <rFont val="Arial"/>
        <family val="0"/>
        <charset val="1"/>
      </rPr>
      <t xml:space="preserve">5</t>
    </r>
    <r>
      <rPr>
        <sz val="11"/>
        <rFont val="WenQuanYi Zen Hei"/>
        <family val="2"/>
      </rPr>
      <t xml:space="preserve">스테이지 보스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종뿐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보석 드랍은 보스 노드 기준으로 정의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스테이지별 중간 보스 추가 시 동일 테이블 사용</t>
    </r>
    <r>
      <rPr>
        <sz val="11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</si>
  <si>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7) </t>
    </r>
    <r>
      <rPr>
        <sz val="11"/>
        <rFont val="WenQuanYi Zen Hei"/>
        <family val="2"/>
      </rPr>
      <t xml:space="preserve">승률 수치는 헤드리스 시뮬</t>
    </r>
    <r>
      <rPr>
        <sz val="11"/>
        <rFont val="Arial"/>
        <family val="0"/>
        <charset val="1"/>
      </rPr>
      <t xml:space="preserve">(3</t>
    </r>
    <r>
      <rPr>
        <sz val="11"/>
        <rFont val="WenQuanYi Zen Hei"/>
        <family val="2"/>
      </rPr>
      <t xml:space="preserve">개 파티 조합 </t>
    </r>
    <r>
      <rPr>
        <sz val="11"/>
        <rFont val="Arial"/>
        <family val="0"/>
        <charset val="1"/>
      </rPr>
      <t xml:space="preserve">× </t>
    </r>
    <r>
      <rPr>
        <sz val="11"/>
        <rFont val="WenQuanYi Zen Hei"/>
        <family val="2"/>
      </rPr>
      <t xml:space="preserve">시드</t>
    </r>
    <r>
      <rPr>
        <sz val="11"/>
        <rFont val="Arial"/>
        <family val="0"/>
        <charset val="1"/>
      </rPr>
      <t xml:space="preserve">, 4</t>
    </r>
    <r>
      <rPr>
        <sz val="11"/>
        <rFont val="WenQuanYi Zen Hei"/>
        <family val="2"/>
      </rPr>
      <t xml:space="preserve">스테이지 일반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정예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보스</t>
    </r>
    <r>
      <rPr>
        <sz val="11"/>
        <rFont val="Arial"/>
        <family val="0"/>
        <charset val="1"/>
      </rPr>
      <t xml:space="preserve">) </t>
    </r>
    <r>
      <rPr>
        <sz val="11"/>
        <rFont val="WenQuanYi Zen Hei"/>
        <family val="2"/>
      </rPr>
      <t xml:space="preserve">기준이며 실제 플레이어 실력에 따라 달라진다</t>
    </r>
    <r>
      <rPr>
        <sz val="11"/>
        <rFont val="Arial"/>
        <family val="0"/>
        <charset val="1"/>
      </rPr>
      <t xml:space="preserve">.</t>
    </r>
  </si>
  <si>
    <t xml:space="preserve">등급</t>
  </si>
  <si>
    <r>
      <rPr>
        <i val="true"/>
        <sz val="9"/>
        <color rgb="FF666666"/>
        <rFont val="WenQuanYi Zen Hei"/>
        <family val="2"/>
      </rPr>
      <t xml:space="preserve">주 스탯 배율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옵션 개수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옵션 배율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고유 효과 배율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보석 슬롯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특성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스킬 보너스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WenQuanYi Zen Hei"/>
        <family val="2"/>
      </rPr>
      <t xml:space="preserve">보석 등급 효과</t>
    </r>
  </si>
  <si>
    <t xml:space="preserve">이름</t>
  </si>
  <si>
    <t xml:space="preserve">주 스탯 배율</t>
  </si>
  <si>
    <t xml:space="preserve">추가 옵션 수</t>
  </si>
  <si>
    <t xml:space="preserve">옵션 수치 배율</t>
  </si>
  <si>
    <t xml:space="preserve">고유 효과 배율</t>
  </si>
  <si>
    <t xml:space="preserve">보석 슬롯 최소</t>
  </si>
  <si>
    <t xml:space="preserve">보석 슬롯 최대</t>
  </si>
  <si>
    <t xml:space="preserve">특성 스탯 최소</t>
  </si>
  <si>
    <t xml:space="preserve">특성 스탯 최대</t>
  </si>
  <si>
    <t xml:space="preserve">스킬 보너스 최소</t>
  </si>
  <si>
    <t xml:space="preserve">스킬 보너스 최대</t>
  </si>
  <si>
    <t xml:space="preserve">보석 효과 개수</t>
  </si>
  <si>
    <t xml:space="preserve">보석 수치 배율</t>
  </si>
  <si>
    <r>
      <rPr>
        <b val="true"/>
        <sz val="11"/>
        <color rgb="FFFFFFFF"/>
        <rFont val="WenQuanYi Zen Hei"/>
        <family val="2"/>
      </rPr>
      <t xml:space="preserve">주 스탯 증가율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전 등급 대비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</si>
  <si>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UC</t>
  </si>
  <si>
    <t xml:space="preserve">C</t>
  </si>
  <si>
    <t xml:space="preserve">R</t>
  </si>
  <si>
    <t xml:space="preserve">SR</t>
  </si>
  <si>
    <t xml:space="preserve">SSR</t>
  </si>
  <si>
    <t xml:space="preserve">UR</t>
  </si>
  <si>
    <t xml:space="preserve">L</t>
  </si>
  <si>
    <t xml:space="preserve">Legend</t>
  </si>
  <si>
    <t xml:space="preserve">E</t>
  </si>
  <si>
    <t xml:space="preserve">Elder</t>
  </si>
  <si>
    <r>
      <rPr>
        <b val="true"/>
        <sz val="11"/>
        <rFont val="Arial"/>
        <family val="0"/>
        <charset val="1"/>
      </rPr>
      <t xml:space="preserve">L </t>
    </r>
    <r>
      <rPr>
        <b val="true"/>
        <sz val="11"/>
        <rFont val="WenQuanYi Zen Hei"/>
        <family val="2"/>
      </rPr>
      <t xml:space="preserve">추가 효과 확률</t>
    </r>
  </si>
  <si>
    <t xml:space="preserve">없음</t>
  </si>
  <si>
    <t xml:space="preserve">특성 스탯</t>
  </si>
  <si>
    <t xml:space="preserve">스킬 보너스</t>
  </si>
  <si>
    <r>
      <rPr>
        <b val="true"/>
        <sz val="11"/>
        <rFont val="Arial"/>
        <family val="0"/>
        <charset val="1"/>
      </rPr>
      <t xml:space="preserve">E </t>
    </r>
    <r>
      <rPr>
        <b val="true"/>
        <sz val="11"/>
        <rFont val="WenQuanYi Zen Hei"/>
        <family val="2"/>
      </rPr>
      <t xml:space="preserve">보석 슬롯 확률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</si>
  <si>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칸</t>
    </r>
  </si>
  <si>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칸</t>
    </r>
  </si>
  <si>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칸</t>
    </r>
  </si>
  <si>
    <r>
      <rPr>
        <b val="true"/>
        <sz val="11"/>
        <rFont val="Arial"/>
        <family val="0"/>
        <charset val="1"/>
      </rPr>
      <t xml:space="preserve">E </t>
    </r>
    <r>
      <rPr>
        <b val="true"/>
        <sz val="11"/>
        <rFont val="WenQuanYi Zen Hei"/>
        <family val="2"/>
      </rPr>
      <t xml:space="preserve">스킬 보너스 확률</t>
    </r>
  </si>
  <si>
    <r>
      <rPr>
        <sz val="11"/>
        <rFont val="Arial"/>
        <family val="0"/>
        <charset val="1"/>
      </rPr>
      <t xml:space="preserve">0</t>
    </r>
    <r>
      <rPr>
        <sz val="11"/>
        <rFont val="WenQuanYi Zen Hei"/>
        <family val="2"/>
      </rPr>
      <t xml:space="preserve">개</t>
    </r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</si>
  <si>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개</t>
    </r>
  </si>
  <si>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개</t>
    </r>
  </si>
  <si>
    <r>
      <rPr>
        <i val="true"/>
        <sz val="9"/>
        <color rgb="FF666666"/>
        <rFont val="WenQuanYi Zen Hei"/>
        <family val="2"/>
      </rPr>
      <t xml:space="preserve">가중치는 상대값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확률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가중치 </t>
    </r>
    <r>
      <rPr>
        <i val="true"/>
        <sz val="9"/>
        <color rgb="FF666666"/>
        <rFont val="Arial"/>
        <family val="0"/>
        <charset val="1"/>
      </rPr>
      <t xml:space="preserve">÷ </t>
    </r>
    <r>
      <rPr>
        <i val="true"/>
        <sz val="9"/>
        <color rgb="FF666666"/>
        <rFont val="WenQuanYi Zen Hei"/>
        <family val="2"/>
      </rPr>
      <t xml:space="preserve">합계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</si>
  <si>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스탯</t>
  </si>
  <si>
    <r>
      <rPr>
        <i val="true"/>
        <sz val="9"/>
        <color rgb="FF666666"/>
        <rFont val="WenQuanYi Zen Hei"/>
        <family val="2"/>
      </rPr>
      <t xml:space="preserve">전투력 가중치</t>
    </r>
    <r>
      <rPr>
        <i val="true"/>
        <sz val="9"/>
        <color rgb="FF666666"/>
        <rFont val="Arial"/>
        <family val="0"/>
        <charset val="1"/>
      </rPr>
      <t xml:space="preserve">(pw): </t>
    </r>
    <r>
      <rPr>
        <i val="true"/>
        <sz val="9"/>
        <color rgb="FF666666"/>
        <rFont val="WenQuanYi Zen Hei"/>
        <family val="2"/>
      </rPr>
      <t xml:space="preserve">스탯 </t>
    </r>
    <r>
      <rPr>
        <i val="true"/>
        <sz val="9"/>
        <color rgb="FF666666"/>
        <rFont val="Arial"/>
        <family val="0"/>
        <charset val="1"/>
      </rPr>
      <t xml:space="preserve">1%p</t>
    </r>
    <r>
      <rPr>
        <i val="true"/>
        <sz val="9"/>
        <color rgb="FF666666"/>
        <rFont val="WenQuanYi Zen Hei"/>
        <family val="2"/>
      </rPr>
      <t xml:space="preserve">가 전투력 몇 </t>
    </r>
    <r>
      <rPr>
        <i val="true"/>
        <sz val="9"/>
        <color rgb="FF666666"/>
        <rFont val="Arial"/>
        <family val="0"/>
        <charset val="1"/>
      </rPr>
      <t xml:space="preserve">%</t>
    </r>
    <r>
      <rPr>
        <i val="true"/>
        <sz val="9"/>
        <color rgb="FF666666"/>
        <rFont val="WenQuanYi Zen Hei"/>
        <family val="2"/>
      </rPr>
      <t xml:space="preserve">에 해당하는지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밸런스 분석용 근사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</si>
  <si>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키</t>
  </si>
  <si>
    <t xml:space="preserve">단위</t>
  </si>
  <si>
    <t xml:space="preserve">전투력 가중치</t>
  </si>
  <si>
    <t xml:space="preserve">상한</t>
  </si>
  <si>
    <t xml:space="preserve">공략 스탯</t>
  </si>
  <si>
    <t xml:space="preserve">비고</t>
  </si>
  <si>
    <t xml:space="preserve">atk</t>
  </si>
  <si>
    <t xml:space="preserve">공격력</t>
  </si>
  <si>
    <t xml:space="preserve">수치</t>
  </si>
  <si>
    <t xml:space="preserve">환산</t>
  </si>
  <si>
    <t xml:space="preserve">-</t>
  </si>
  <si>
    <t xml:space="preserve">직업 기본 공격력 대비로 환산</t>
  </si>
  <si>
    <t xml:space="preserve">hp</t>
  </si>
  <si>
    <t xml:space="preserve">체력</t>
  </si>
  <si>
    <t xml:space="preserve">직업 기본 체력 대비로 환산</t>
  </si>
  <si>
    <t xml:space="preserve">atk_pct</t>
  </si>
  <si>
    <r>
      <rPr>
        <sz val="11"/>
        <rFont val="WenQuanYi Zen Hei"/>
        <family val="2"/>
      </rPr>
      <t xml:space="preserve">공격력</t>
    </r>
    <r>
      <rPr>
        <sz val="11"/>
        <rFont val="Arial"/>
        <family val="0"/>
        <charset val="1"/>
      </rPr>
      <t xml:space="preserve">%</t>
    </r>
  </si>
  <si>
    <t xml:space="preserve">%</t>
  </si>
  <si>
    <t xml:space="preserve">hp_pct</t>
  </si>
  <si>
    <r>
      <rPr>
        <sz val="11"/>
        <rFont val="WenQuanYi Zen Hei"/>
        <family val="2"/>
      </rPr>
      <t xml:space="preserve">체력</t>
    </r>
    <r>
      <rPr>
        <sz val="11"/>
        <rFont val="Arial"/>
        <family val="0"/>
        <charset val="1"/>
      </rPr>
      <t xml:space="preserve">%</t>
    </r>
  </si>
  <si>
    <t xml:space="preserve">dr</t>
  </si>
  <si>
    <t xml:space="preserve">받는 피해 감소</t>
  </si>
  <si>
    <t xml:space="preserve">aspd</t>
  </si>
  <si>
    <t xml:space="preserve">공격 속도</t>
  </si>
  <si>
    <t xml:space="preserve">crit</t>
  </si>
  <si>
    <t xml:space="preserve">치명타 확률</t>
  </si>
  <si>
    <t xml:space="preserve">critdmg</t>
  </si>
  <si>
    <t xml:space="preserve">치명타 피해</t>
  </si>
  <si>
    <t xml:space="preserve">skilldmg</t>
  </si>
  <si>
    <t xml:space="preserve">스킬 피해</t>
  </si>
  <si>
    <t xml:space="preserve">cdr</t>
  </si>
  <si>
    <t xml:space="preserve">쿨타임 감소</t>
  </si>
  <si>
    <t xml:space="preserve">heal</t>
  </si>
  <si>
    <t xml:space="preserve">회복량</t>
  </si>
  <si>
    <t xml:space="preserve">ultgain</t>
  </si>
  <si>
    <t xml:space="preserve">필살기 충전</t>
  </si>
  <si>
    <t xml:space="preserve">mspd</t>
  </si>
  <si>
    <t xml:space="preserve">이동 속도</t>
  </si>
  <si>
    <t xml:space="preserve">dotdmg</t>
  </si>
  <si>
    <t xml:space="preserve">지속 피해</t>
  </si>
  <si>
    <t xml:space="preserve">ccdur</t>
  </si>
  <si>
    <r>
      <rPr>
        <sz val="11"/>
        <rFont val="WenQuanYi Zen Hei"/>
        <family val="2"/>
      </rPr>
      <t xml:space="preserve">기절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도발 지속</t>
    </r>
  </si>
  <si>
    <t xml:space="preserve">O</t>
  </si>
  <si>
    <t xml:space="preserve">breakdmg</t>
  </si>
  <si>
    <t xml:space="preserve">그로기 피해</t>
  </si>
  <si>
    <r>
      <rPr>
        <sz val="11"/>
        <rFont val="WenQuanYi Zen Hei"/>
        <family val="2"/>
      </rPr>
      <t xml:space="preserve">그로기 게이지를 더 크게 깎는다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공략 스탯</t>
    </r>
    <r>
      <rPr>
        <sz val="11"/>
        <rFont val="Arial"/>
        <family val="0"/>
        <charset val="1"/>
      </rPr>
      <t xml:space="preserve">)</t>
    </r>
  </si>
  <si>
    <t xml:space="preserve">s1pow</t>
  </si>
  <si>
    <t xml:space="preserve">① 스킬 위력</t>
  </si>
  <si>
    <r>
      <rPr>
        <sz val="11"/>
        <rFont val="WenQuanYi Zen Hei"/>
        <family val="2"/>
      </rPr>
      <t xml:space="preserve">소울 메달 주 스탯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갑옷 스킬</t>
    </r>
    <r>
      <rPr>
        <sz val="11"/>
        <rFont val="Arial"/>
        <family val="0"/>
        <charset val="1"/>
      </rPr>
      <t xml:space="preserve">)</t>
    </r>
  </si>
  <si>
    <t xml:space="preserve">s2pow</t>
  </si>
  <si>
    <t xml:space="preserve">② 스킬 위력</t>
  </si>
  <si>
    <r>
      <rPr>
        <sz val="11"/>
        <rFont val="WenQuanYi Zen Hei"/>
        <family val="2"/>
      </rPr>
      <t xml:space="preserve">소울 메달 주 스탯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무기 스킬</t>
    </r>
    <r>
      <rPr>
        <sz val="11"/>
        <rFont val="Arial"/>
        <family val="0"/>
        <charset val="1"/>
      </rPr>
      <t xml:space="preserve">)</t>
    </r>
  </si>
  <si>
    <t xml:space="preserve">vsbroken</t>
  </si>
  <si>
    <t xml:space="preserve">그로기 적 피해</t>
  </si>
  <si>
    <r>
      <rPr>
        <sz val="11"/>
        <rFont val="WenQuanYi Zen Hei"/>
        <family val="2"/>
      </rPr>
      <t xml:space="preserve">그로기 상태 적에게 주는 피해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공략 스탯</t>
    </r>
    <r>
      <rPr>
        <sz val="11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</si>
  <si>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장비 기본값 </t>
    </r>
    <r>
      <rPr>
        <b val="true"/>
        <sz val="14"/>
        <rFont val="Arial"/>
        <family val="0"/>
        <charset val="1"/>
      </rPr>
      <t xml:space="preserve">(UC </t>
    </r>
    <r>
      <rPr>
        <b val="true"/>
        <sz val="14"/>
        <rFont val="WenQuanYi Zen Hei"/>
        <family val="2"/>
      </rPr>
      <t xml:space="preserve">기준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</si>
  <si>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등급별 수치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기본값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WenQuanYi Zen Hei"/>
        <family val="2"/>
      </rPr>
      <t xml:space="preserve">등급 배율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공격력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체력은 수치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나머지는 비율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</si>
  <si>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ID</t>
  </si>
  <si>
    <t xml:space="preserve">부위</t>
  </si>
  <si>
    <t xml:space="preserve">직업</t>
  </si>
  <si>
    <t xml:space="preserve">라인</t>
  </si>
  <si>
    <r>
      <rPr>
        <b val="true"/>
        <sz val="11"/>
        <color rgb="FFFFFFFF"/>
        <rFont val="WenQuanYi Zen Hei"/>
        <family val="2"/>
      </rPr>
      <t xml:space="preserve">주 스탯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</si>
  <si>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WenQuanYi Zen Hei"/>
        <family val="2"/>
      </rPr>
      <t xml:space="preserve">기본값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</si>
  <si>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WenQuanYi Zen Hei"/>
        <family val="2"/>
      </rPr>
      <t xml:space="preserve">주 스탯</t>
    </r>
    <r>
      <rPr>
        <b val="true"/>
        <sz val="11"/>
        <color rgb="FFFFFFFF"/>
        <rFont val="Arial"/>
        <family val="0"/>
        <charset val="1"/>
      </rPr>
      <t xml:space="preserve">2</t>
    </r>
  </si>
  <si>
    <r>
      <rPr>
        <b val="true"/>
        <sz val="11"/>
        <color rgb="FFFFFFFF"/>
        <rFont val="WenQuanYi Zen Hei"/>
        <family val="2"/>
      </rPr>
      <t xml:space="preserve">기본값</t>
    </r>
    <r>
      <rPr>
        <b val="true"/>
        <sz val="11"/>
        <color rgb="FFFFFFFF"/>
        <rFont val="Arial"/>
        <family val="0"/>
        <charset val="1"/>
      </rPr>
      <t xml:space="preserve">2</t>
    </r>
  </si>
  <si>
    <t xml:space="preserve">고유 효과</t>
  </si>
  <si>
    <t xml:space="preserve">고유 기본값</t>
  </si>
  <si>
    <t xml:space="preserve">고유 효과 키</t>
  </si>
  <si>
    <t xml:space="preserve">tank_weapon_1</t>
  </si>
  <si>
    <t xml:space="preserve">수호자의 메이스</t>
  </si>
  <si>
    <t xml:space="preserve">무기</t>
  </si>
  <si>
    <t xml:space="preserve">탱커</t>
  </si>
  <si>
    <r>
      <rPr>
        <sz val="11"/>
        <rFont val="WenQuanYi Zen Hei"/>
        <family val="2"/>
      </rPr>
      <t xml:space="preserve">② 방패 강타 그로기 피해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</si>
  <si>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s2_break</t>
  </si>
  <si>
    <t xml:space="preserve">tank_weapon_2</t>
  </si>
  <si>
    <t xml:space="preserve">맹세의 장검</t>
  </si>
  <si>
    <r>
      <rPr>
        <sz val="11"/>
        <rFont val="WenQuanYi Zen Hei"/>
        <family val="2"/>
      </rPr>
      <t xml:space="preserve">① 도발 중 받는 피해 감소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]%p</t>
    </r>
  </si>
  <si>
    <t xml:space="preserve">%p</t>
  </si>
  <si>
    <t xml:space="preserve">s1_guard</t>
  </si>
  <si>
    <t xml:space="preserve">tank_weapon_3</t>
  </si>
  <si>
    <t xml:space="preserve">성채의 철퇴</t>
  </si>
  <si>
    <r>
      <rPr>
        <sz val="11"/>
        <rFont val="WenQuanYi Zen Hei"/>
        <family val="2"/>
      </rPr>
      <t xml:space="preserve">평타 적중 시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 </t>
    </r>
    <r>
      <rPr>
        <sz val="11"/>
        <rFont val="WenQuanYi Zen Hei"/>
        <family val="2"/>
      </rPr>
      <t xml:space="preserve">확률로 </t>
    </r>
    <r>
      <rPr>
        <sz val="11"/>
        <rFont val="Arial"/>
        <family val="0"/>
        <charset val="1"/>
      </rPr>
      <t xml:space="preserve">0.6</t>
    </r>
    <r>
      <rPr>
        <sz val="11"/>
        <rFont val="WenQuanYi Zen Hei"/>
        <family val="2"/>
      </rPr>
      <t xml:space="preserve">초 기절</t>
    </r>
  </si>
  <si>
    <t xml:space="preserve">basic_stun_chance</t>
  </si>
  <si>
    <t xml:space="preserve">tank_armor_1</t>
  </si>
  <si>
    <t xml:space="preserve">성벽 판금갑</t>
  </si>
  <si>
    <t xml:space="preserve">갑옷</t>
  </si>
  <si>
    <r>
      <rPr>
        <sz val="11"/>
        <rFont val="WenQuanYi Zen Hei"/>
        <family val="2"/>
      </rPr>
      <t xml:space="preserve">차지 공격 피해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</si>
  <si>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charge_dr</t>
  </si>
  <si>
    <t xml:space="preserve">tank_armor_2</t>
  </si>
  <si>
    <t xml:space="preserve">맹세의 사슬갑</t>
  </si>
  <si>
    <r>
      <rPr>
        <sz val="11"/>
        <rFont val="WenQuanYi Zen Hei"/>
        <family val="2"/>
      </rPr>
      <t xml:space="preserve">① 도발 지속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  <r>
      <rPr>
        <sz val="11"/>
        <rFont val="WenQuanYi Zen Hei"/>
        <family val="2"/>
      </rPr>
      <t xml:space="preserve">초</t>
    </r>
  </si>
  <si>
    <t xml:space="preserve">초</t>
  </si>
  <si>
    <t xml:space="preserve">s1_taunt_dur</t>
  </si>
  <si>
    <t xml:space="preserve">tank_armor_3</t>
  </si>
  <si>
    <t xml:space="preserve">가시 갑옷</t>
  </si>
  <si>
    <r>
      <rPr>
        <sz val="11"/>
        <rFont val="WenQuanYi Zen Hei"/>
        <family val="2"/>
      </rPr>
      <t xml:space="preserve">받은 근접 피해의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 </t>
    </r>
    <r>
      <rPr>
        <sz val="11"/>
        <rFont val="WenQuanYi Zen Hei"/>
        <family val="2"/>
      </rPr>
      <t xml:space="preserve">반사</t>
    </r>
  </si>
  <si>
    <t xml:space="preserve">thorns</t>
  </si>
  <si>
    <t xml:space="preserve">tank_medal_1</t>
  </si>
  <si>
    <t xml:space="preserve">불굴의 소울 메달</t>
  </si>
  <si>
    <t xml:space="preserve">소울 메달</t>
  </si>
  <si>
    <t xml:space="preserve">tank_medal_2</t>
  </si>
  <si>
    <t xml:space="preserve">수호성의 소울 메달</t>
  </si>
  <si>
    <t xml:space="preserve">melee_weapon_1</t>
  </si>
  <si>
    <t xml:space="preserve">바람의 쌍검</t>
  </si>
  <si>
    <t xml:space="preserve">근딜</t>
  </si>
  <si>
    <r>
      <rPr>
        <sz val="11"/>
        <rFont val="WenQuanYi Zen Hei"/>
        <family val="2"/>
      </rPr>
      <t xml:space="preserve">① 급소 베기 출혈 피해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</si>
  <si>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s1_bleed</t>
  </si>
  <si>
    <t xml:space="preserve">melee_weapon_2</t>
  </si>
  <si>
    <t xml:space="preserve">파쇄자의 대검</t>
  </si>
  <si>
    <r>
      <rPr>
        <sz val="11"/>
        <rFont val="WenQuanYi Zen Hei"/>
        <family val="2"/>
      </rPr>
      <t xml:space="preserve">그로기 적에게 피해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</si>
  <si>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vs_broken</t>
  </si>
  <si>
    <t xml:space="preserve">melee_weapon_3</t>
  </si>
  <si>
    <t xml:space="preserve">그림자 단검</t>
  </si>
  <si>
    <r>
      <rPr>
        <sz val="11"/>
        <rFont val="WenQuanYi Zen Hei"/>
        <family val="2"/>
      </rPr>
      <t xml:space="preserve">② 회전 베기 범위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</si>
  <si>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s2_area</t>
  </si>
  <si>
    <t xml:space="preserve">melee_armor_1</t>
  </si>
  <si>
    <t xml:space="preserve">사냥꾼의 가죽갑</t>
  </si>
  <si>
    <r>
      <rPr>
        <sz val="11"/>
        <rFont val="WenQuanYi Zen Hei"/>
        <family val="2"/>
      </rPr>
      <t xml:space="preserve">적 처치 시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초간 공격 속도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</si>
  <si>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kill_aspd</t>
  </si>
  <si>
    <t xml:space="preserve">melee_armor_2</t>
  </si>
  <si>
    <t xml:space="preserve">검무사의 경갑</t>
  </si>
  <si>
    <r>
      <rPr>
        <sz val="11"/>
        <rFont val="WenQuanYi Zen Hei"/>
        <family val="2"/>
      </rPr>
      <t xml:space="preserve">② 회전 베기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</si>
  <si>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s2_cd</t>
  </si>
  <si>
    <t xml:space="preserve">melee_armor_3</t>
  </si>
  <si>
    <t xml:space="preserve">핏빛 망토</t>
  </si>
  <si>
    <r>
      <rPr>
        <sz val="11"/>
        <rFont val="WenQuanYi Zen Hei"/>
        <family val="2"/>
      </rPr>
      <t xml:space="preserve">출혈 걸린 적에게 피해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</si>
  <si>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vs_bleed</t>
  </si>
  <si>
    <t xml:space="preserve">melee_medal_1</t>
  </si>
  <si>
    <t xml:space="preserve">검귀의 소울 메달</t>
  </si>
  <si>
    <t xml:space="preserve">melee_medal_2</t>
  </si>
  <si>
    <t xml:space="preserve">투지의 소울 메달</t>
  </si>
  <si>
    <t xml:space="preserve">ranged_weapon_1</t>
  </si>
  <si>
    <t xml:space="preserve">매의 장궁</t>
  </si>
  <si>
    <t xml:space="preserve">원딜</t>
  </si>
  <si>
    <r>
      <rPr>
        <sz val="11"/>
        <rFont val="WenQuanYi Zen Hei"/>
        <family val="2"/>
      </rPr>
      <t xml:space="preserve">① 관통 사격 취약 지속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  <r>
      <rPr>
        <sz val="11"/>
        <rFont val="WenQuanYi Zen Hei"/>
        <family val="2"/>
      </rPr>
      <t xml:space="preserve">초</t>
    </r>
  </si>
  <si>
    <t xml:space="preserve">s1_vuln_dur</t>
  </si>
  <si>
    <t xml:space="preserve">ranged_weapon_2</t>
  </si>
  <si>
    <t xml:space="preserve">폭풍의 연궁</t>
  </si>
  <si>
    <r>
      <rPr>
        <sz val="11"/>
        <rFont val="WenQuanYi Zen Hei"/>
        <family val="2"/>
      </rPr>
      <t xml:space="preserve">평타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 </t>
    </r>
    <r>
      <rPr>
        <sz val="11"/>
        <rFont val="WenQuanYi Zen Hei"/>
        <family val="2"/>
      </rPr>
      <t xml:space="preserve">확률로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연사</t>
    </r>
  </si>
  <si>
    <t xml:space="preserve">double_shot</t>
  </si>
  <si>
    <t xml:space="preserve">ranged_weapon_3</t>
  </si>
  <si>
    <t xml:space="preserve">은빛 석궁</t>
  </si>
  <si>
    <r>
      <rPr>
        <sz val="11"/>
        <rFont val="WenQuanYi Zen Hei"/>
        <family val="2"/>
      </rPr>
      <t xml:space="preserve">③ 집중 사격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</si>
  <si>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ult_power</t>
  </si>
  <si>
    <t xml:space="preserve">ranged_armor_1</t>
  </si>
  <si>
    <t xml:space="preserve">숲지기 가죽갑</t>
  </si>
  <si>
    <r>
      <rPr>
        <sz val="11"/>
        <rFont val="WenQuanYi Zen Hei"/>
        <family val="2"/>
      </rPr>
      <t xml:space="preserve">② 화살비 범위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</si>
  <si>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ranged_armor_2</t>
  </si>
  <si>
    <t xml:space="preserve">그림자 망토</t>
  </si>
  <si>
    <r>
      <rPr>
        <sz val="11"/>
        <rFont val="WenQuanYi Zen Hei"/>
        <family val="2"/>
      </rPr>
      <t xml:space="preserve">적이 </t>
    </r>
    <r>
      <rPr>
        <sz val="11"/>
        <rFont val="Arial"/>
        <family val="0"/>
        <charset val="1"/>
      </rPr>
      <t xml:space="preserve">70px </t>
    </r>
    <r>
      <rPr>
        <sz val="11"/>
        <rFont val="WenQuanYi Zen Hei"/>
        <family val="2"/>
      </rPr>
      <t xml:space="preserve">안에 있으면 받는 피해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</si>
  <si>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near_dr</t>
  </si>
  <si>
    <t xml:space="preserve">ranged_armor_3</t>
  </si>
  <si>
    <t xml:space="preserve">추적자의 조끼</t>
  </si>
  <si>
    <r>
      <rPr>
        <sz val="11"/>
        <rFont val="WenQuanYi Zen Hei"/>
        <family val="2"/>
      </rPr>
      <t xml:space="preserve">차지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호출을 끊으면 필살기 게이지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</si>
  <si>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counter_ult</t>
  </si>
  <si>
    <t xml:space="preserve">ranged_medal_1</t>
  </si>
  <si>
    <t xml:space="preserve">명사수의 소울 메달</t>
  </si>
  <si>
    <t xml:space="preserve">ranged_medal_2</t>
  </si>
  <si>
    <t xml:space="preserve">바람의 소울 메달</t>
  </si>
  <si>
    <t xml:space="preserve">mage_weapon_1</t>
  </si>
  <si>
    <t xml:space="preserve">별빛 지팡이</t>
  </si>
  <si>
    <t xml:space="preserve">매지션</t>
  </si>
  <si>
    <r>
      <rPr>
        <sz val="11"/>
        <rFont val="WenQuanYi Zen Hei"/>
        <family val="2"/>
      </rPr>
      <t xml:space="preserve">① 별빛 탄 화상 피해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</si>
  <si>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s1_burn</t>
  </si>
  <si>
    <t xml:space="preserve">mage_weapon_2</t>
  </si>
  <si>
    <t xml:space="preserve">유성의 홀</t>
  </si>
  <si>
    <r>
      <rPr>
        <sz val="11"/>
        <rFont val="WenQuanYi Zen Hei"/>
        <family val="2"/>
      </rPr>
      <t xml:space="preserve">② 유성우 범위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</si>
  <si>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mage_weapon_3</t>
  </si>
  <si>
    <t xml:space="preserve">금단의 마도서</t>
  </si>
  <si>
    <r>
      <rPr>
        <sz val="11"/>
        <rFont val="WenQuanYi Zen Hei"/>
        <family val="2"/>
      </rPr>
      <t xml:space="preserve">③ 대마법이 그로기 적에게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</si>
  <si>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ult_vs_broken</t>
  </si>
  <si>
    <t xml:space="preserve">mage_armor_1</t>
  </si>
  <si>
    <t xml:space="preserve">현자의 로브</t>
  </si>
  <si>
    <r>
      <rPr>
        <sz val="11"/>
        <rFont val="WenQuanYi Zen Hei"/>
        <family val="2"/>
      </rPr>
      <t xml:space="preserve">쿨타임 감소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</si>
  <si>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cdr_extra</t>
  </si>
  <si>
    <t xml:space="preserve">mage_armor_2</t>
  </si>
  <si>
    <t xml:space="preserve">불꽃 망토</t>
  </si>
  <si>
    <r>
      <rPr>
        <sz val="11"/>
        <rFont val="WenQuanYi Zen Hei"/>
        <family val="2"/>
      </rPr>
      <t xml:space="preserve">화상 지속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  <r>
      <rPr>
        <sz val="11"/>
        <rFont val="WenQuanYi Zen Hei"/>
        <family val="2"/>
      </rPr>
      <t xml:space="preserve">초</t>
    </r>
  </si>
  <si>
    <t xml:space="preserve">burn_dur</t>
  </si>
  <si>
    <t xml:space="preserve">mage_armor_3</t>
  </si>
  <si>
    <t xml:space="preserve">마력 장막 로브</t>
  </si>
  <si>
    <r>
      <rPr>
        <sz val="11"/>
        <rFont val="WenQuanYi Zen Hei"/>
        <family val="2"/>
      </rPr>
      <t xml:space="preserve">전투 시작 시 최대 </t>
    </r>
    <r>
      <rPr>
        <sz val="11"/>
        <rFont val="Arial"/>
        <family val="0"/>
        <charset val="1"/>
      </rPr>
      <t xml:space="preserve">HP 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 </t>
    </r>
    <r>
      <rPr>
        <sz val="11"/>
        <rFont val="WenQuanYi Zen Hei"/>
        <family val="2"/>
      </rPr>
      <t xml:space="preserve">보호막</t>
    </r>
  </si>
  <si>
    <t xml:space="preserve">start_shield</t>
  </si>
  <si>
    <t xml:space="preserve">mage_medal_1</t>
  </si>
  <si>
    <t xml:space="preserve">대마도사의 소울 메달</t>
  </si>
  <si>
    <t xml:space="preserve">mage_medal_2</t>
  </si>
  <si>
    <t xml:space="preserve">별의 소울 메달</t>
  </si>
  <si>
    <t xml:space="preserve">support_weapon_1</t>
  </si>
  <si>
    <t xml:space="preserve">생명의 지팡이</t>
  </si>
  <si>
    <t xml:space="preserve">서포터</t>
  </si>
  <si>
    <r>
      <rPr>
        <sz val="11"/>
        <rFont val="WenQuanYi Zen Hei"/>
        <family val="2"/>
      </rPr>
      <t xml:space="preserve">① 치유 회복량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</si>
  <si>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s1_heal</t>
  </si>
  <si>
    <t xml:space="preserve">support_weapon_2</t>
  </si>
  <si>
    <t xml:space="preserve">빛의 홀</t>
  </si>
  <si>
    <r>
      <rPr>
        <sz val="11"/>
        <rFont val="WenQuanYi Zen Hei"/>
        <family val="2"/>
      </rPr>
      <t xml:space="preserve">② 광역 치유 범위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</si>
  <si>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support_weapon_3</t>
  </si>
  <si>
    <t xml:space="preserve">정화의 성구</t>
  </si>
  <si>
    <r>
      <rPr>
        <sz val="11"/>
        <rFont val="WenQuanYi Zen Hei"/>
        <family val="2"/>
      </rPr>
      <t xml:space="preserve">치유받은 아군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초간 받는 피해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</si>
  <si>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heal_dr</t>
  </si>
  <si>
    <t xml:space="preserve">support_armor_1</t>
  </si>
  <si>
    <t xml:space="preserve">순백의 사제복</t>
  </si>
  <si>
    <r>
      <rPr>
        <sz val="11"/>
        <rFont val="WenQuanYi Zen Hei"/>
        <family val="2"/>
      </rPr>
      <t xml:space="preserve">파티 회복 받는 양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</si>
  <si>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party_healrecv</t>
  </si>
  <si>
    <t xml:space="preserve">support_armor_2</t>
  </si>
  <si>
    <t xml:space="preserve">수호의 성의</t>
  </si>
  <si>
    <r>
      <rPr>
        <sz val="11"/>
        <rFont val="WenQuanYi Zen Hei"/>
        <family val="2"/>
      </rPr>
      <t xml:space="preserve">③ 생명의 나무 지속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  <r>
      <rPr>
        <sz val="11"/>
        <rFont val="WenQuanYi Zen Hei"/>
        <family val="2"/>
      </rPr>
      <t xml:space="preserve">초</t>
    </r>
  </si>
  <si>
    <t xml:space="preserve">ult_dur</t>
  </si>
  <si>
    <t xml:space="preserve">support_armor_3</t>
  </si>
  <si>
    <t xml:space="preserve">기도의 숄</t>
  </si>
  <si>
    <r>
      <rPr>
        <sz val="11"/>
        <rFont val="WenQuanYi Zen Hei"/>
        <family val="2"/>
      </rPr>
      <t xml:space="preserve">전투 시작 시 파티 </t>
    </r>
    <r>
      <rPr>
        <sz val="11"/>
        <rFont val="Arial"/>
        <family val="0"/>
        <charset val="1"/>
      </rPr>
      <t xml:space="preserve">HP 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 </t>
    </r>
    <r>
      <rPr>
        <sz val="11"/>
        <rFont val="WenQuanYi Zen Hei"/>
        <family val="2"/>
      </rPr>
      <t xml:space="preserve">회복</t>
    </r>
  </si>
  <si>
    <t xml:space="preserve">start_heal</t>
  </si>
  <si>
    <t xml:space="preserve">support_medal_1</t>
  </si>
  <si>
    <t xml:space="preserve">성녀의 소울 메달</t>
  </si>
  <si>
    <t xml:space="preserve">support_medal_2</t>
  </si>
  <si>
    <t xml:space="preserve">다정함의 소울 메달</t>
  </si>
  <si>
    <t xml:space="preserve">common_ring_1</t>
  </si>
  <si>
    <t xml:space="preserve">힘의 반지</t>
  </si>
  <si>
    <t xml:space="preserve">반지</t>
  </si>
  <si>
    <t xml:space="preserve">공통</t>
  </si>
  <si>
    <t xml:space="preserve">common_ring_2</t>
  </si>
  <si>
    <t xml:space="preserve">예리한 반지</t>
  </si>
  <si>
    <t xml:space="preserve">common_ring_3</t>
  </si>
  <si>
    <t xml:space="preserve">파쇄의 반지</t>
  </si>
  <si>
    <t xml:space="preserve">common_necklace_1</t>
  </si>
  <si>
    <t xml:space="preserve">현자의 목걸이</t>
  </si>
  <si>
    <t xml:space="preserve">목걸이</t>
  </si>
  <si>
    <t xml:space="preserve">common_necklace_2</t>
  </si>
  <si>
    <t xml:space="preserve">시간의 목걸이</t>
  </si>
  <si>
    <t xml:space="preserve">common_necklace_3</t>
  </si>
  <si>
    <t xml:space="preserve">영혼의 목걸이</t>
  </si>
  <si>
    <t xml:space="preserve">common_belt_1</t>
  </si>
  <si>
    <t xml:space="preserve">거인의 벨트</t>
  </si>
  <si>
    <t xml:space="preserve">벨트</t>
  </si>
  <si>
    <t xml:space="preserve">common_belt_2</t>
  </si>
  <si>
    <t xml:space="preserve">수호의 벨트</t>
  </si>
  <si>
    <t xml:space="preserve">common_belt_3</t>
  </si>
  <si>
    <t xml:space="preserve">질주의 벨트</t>
  </si>
  <si>
    <r>
      <rPr>
        <b val="true"/>
        <sz val="14"/>
        <rFont val="WenQuanYi Zen Hei"/>
        <family val="2"/>
      </rPr>
      <t xml:space="preserve">장비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등급 수치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수식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</si>
  <si>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주 스탯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기본값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WenQuanYi Zen Hei"/>
        <family val="2"/>
      </rPr>
      <t xml:space="preserve">주 스탯 배율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WenQuanYi Zen Hei"/>
        <family val="2"/>
      </rPr>
      <t xml:space="preserve">고유 효과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고유 기본값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WenQuanYi Zen Hei"/>
        <family val="2"/>
      </rPr>
      <t xml:space="preserve">고유 효과 배율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옵션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보석 슬롯은 등급 시트 참조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</si>
  <si>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color rgb="FFFFFFFF"/>
        <rFont val="WenQuanYi Zen Hei"/>
        <family val="2"/>
      </rPr>
      <t xml:space="preserve">값</t>
    </r>
    <r>
      <rPr>
        <b val="true"/>
        <sz val="11"/>
        <color rgb="FFFFFFFF"/>
        <rFont val="Arial"/>
        <family val="0"/>
        <charset val="1"/>
      </rPr>
      <t xml:space="preserve">1</t>
    </r>
  </si>
  <si>
    <r>
      <rPr>
        <b val="true"/>
        <sz val="11"/>
        <color rgb="FFFFFFFF"/>
        <rFont val="WenQuanYi Zen Hei"/>
        <family val="2"/>
      </rPr>
      <t xml:space="preserve">값</t>
    </r>
    <r>
      <rPr>
        <b val="true"/>
        <sz val="11"/>
        <color rgb="FFFFFFFF"/>
        <rFont val="Arial"/>
        <family val="0"/>
        <charset val="1"/>
      </rPr>
      <t xml:space="preserve">2</t>
    </r>
  </si>
  <si>
    <t xml:space="preserve">고유 값</t>
  </si>
  <si>
    <t xml:space="preserve">보석 슬롯</t>
  </si>
  <si>
    <t xml:space="preserve">추가 옵션 풀</t>
  </si>
  <si>
    <r>
      <rPr>
        <i val="true"/>
        <sz val="9"/>
        <color rgb="FF666666"/>
        <rFont val="Arial"/>
        <family val="0"/>
        <charset val="1"/>
      </rPr>
      <t xml:space="preserve">R </t>
    </r>
    <r>
      <rPr>
        <i val="true"/>
        <sz val="9"/>
        <color rgb="FF666666"/>
        <rFont val="WenQuanYi Zen Hei"/>
        <family val="2"/>
      </rPr>
      <t xml:space="preserve">기준 범위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WenQuanYi Zen Hei"/>
        <family val="2"/>
      </rPr>
      <t xml:space="preserve">등급 옵션 배율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한 장비에 같은 옵션은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WenQuanYi Zen Hei"/>
        <family val="2"/>
      </rPr>
      <t xml:space="preserve">줄만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등장 확률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가중치 </t>
    </r>
    <r>
      <rPr>
        <i val="true"/>
        <sz val="9"/>
        <color rgb="FF666666"/>
        <rFont val="Arial"/>
        <family val="0"/>
        <charset val="1"/>
      </rPr>
      <t xml:space="preserve">÷ </t>
    </r>
    <r>
      <rPr>
        <i val="true"/>
        <sz val="9"/>
        <color rgb="FF666666"/>
        <rFont val="WenQuanYi Zen Hei"/>
        <family val="2"/>
      </rPr>
      <t xml:space="preserve">해당 부위 합계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</si>
  <si>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옵션</t>
  </si>
  <si>
    <r>
      <rPr>
        <b val="true"/>
        <sz val="11"/>
        <color rgb="FFFFFFFF"/>
        <rFont val="Arial"/>
        <family val="0"/>
        <charset val="1"/>
      </rPr>
      <t xml:space="preserve">R </t>
    </r>
    <r>
      <rPr>
        <b val="true"/>
        <sz val="11"/>
        <color rgb="FFFFFFFF"/>
        <rFont val="WenQuanYi Zen Hei"/>
        <family val="2"/>
      </rPr>
      <t xml:space="preserve">최소</t>
    </r>
  </si>
  <si>
    <r>
      <rPr>
        <b val="true"/>
        <sz val="11"/>
        <color rgb="FFFFFFFF"/>
        <rFont val="Arial"/>
        <family val="0"/>
        <charset val="1"/>
      </rPr>
      <t xml:space="preserve">R </t>
    </r>
    <r>
      <rPr>
        <b val="true"/>
        <sz val="11"/>
        <color rgb="FFFFFFFF"/>
        <rFont val="WenQuanYi Zen Hei"/>
        <family val="2"/>
      </rPr>
      <t xml:space="preserve">최대</t>
    </r>
  </si>
  <si>
    <t xml:space="preserve">가중치</t>
  </si>
  <si>
    <t xml:space="preserve">붙는 부위</t>
  </si>
  <si>
    <r>
      <rPr>
        <b val="true"/>
        <sz val="11"/>
        <color rgb="FFFFFFFF"/>
        <rFont val="Arial"/>
        <family val="0"/>
        <charset val="1"/>
      </rPr>
      <t xml:space="preserve">SR </t>
    </r>
    <r>
      <rPr>
        <b val="true"/>
        <sz val="11"/>
        <color rgb="FFFFFFFF"/>
        <rFont val="WenQuanYi Zen Hei"/>
        <family val="2"/>
      </rPr>
      <t xml:space="preserve">최소</t>
    </r>
  </si>
  <si>
    <r>
      <rPr>
        <b val="true"/>
        <sz val="11"/>
        <color rgb="FFFFFFFF"/>
        <rFont val="Arial"/>
        <family val="0"/>
        <charset val="1"/>
      </rPr>
      <t xml:space="preserve">SSR </t>
    </r>
    <r>
      <rPr>
        <b val="true"/>
        <sz val="11"/>
        <color rgb="FFFFFFFF"/>
        <rFont val="WenQuanYi Zen Hei"/>
        <family val="2"/>
      </rPr>
      <t xml:space="preserve">최소</t>
    </r>
  </si>
  <si>
    <r>
      <rPr>
        <b val="true"/>
        <sz val="11"/>
        <color rgb="FFFFFFFF"/>
        <rFont val="Arial"/>
        <family val="0"/>
        <charset val="1"/>
      </rPr>
      <t xml:space="preserve">UR </t>
    </r>
    <r>
      <rPr>
        <b val="true"/>
        <sz val="11"/>
        <color rgb="FFFFFFFF"/>
        <rFont val="WenQuanYi Zen Hei"/>
        <family val="2"/>
      </rPr>
      <t xml:space="preserve">최소</t>
    </r>
  </si>
  <si>
    <r>
      <rPr>
        <b val="true"/>
        <sz val="11"/>
        <color rgb="FFFFFFFF"/>
        <rFont val="Arial"/>
        <family val="0"/>
        <charset val="1"/>
      </rPr>
      <t xml:space="preserve">L </t>
    </r>
    <r>
      <rPr>
        <b val="true"/>
        <sz val="11"/>
        <color rgb="FFFFFFFF"/>
        <rFont val="WenQuanYi Zen Hei"/>
        <family val="2"/>
      </rPr>
      <t xml:space="preserve">최소</t>
    </r>
  </si>
  <si>
    <r>
      <rPr>
        <b val="true"/>
        <sz val="11"/>
        <color rgb="FFFFFFFF"/>
        <rFont val="Arial"/>
        <family val="0"/>
        <charset val="1"/>
      </rPr>
      <t xml:space="preserve">E </t>
    </r>
    <r>
      <rPr>
        <b val="true"/>
        <sz val="11"/>
        <color rgb="FFFFFFFF"/>
        <rFont val="WenQuanYi Zen Hei"/>
        <family val="2"/>
      </rPr>
      <t xml:space="preserve">최소</t>
    </r>
  </si>
  <si>
    <r>
      <rPr>
        <b val="true"/>
        <sz val="11"/>
        <color rgb="FFFFFFFF"/>
        <rFont val="Arial"/>
        <family val="0"/>
        <charset val="1"/>
      </rPr>
      <t xml:space="preserve">SR </t>
    </r>
    <r>
      <rPr>
        <b val="true"/>
        <sz val="11"/>
        <color rgb="FFFFFFFF"/>
        <rFont val="WenQuanYi Zen Hei"/>
        <family val="2"/>
      </rPr>
      <t xml:space="preserve">최대</t>
    </r>
  </si>
  <si>
    <r>
      <rPr>
        <b val="true"/>
        <sz val="11"/>
        <color rgb="FFFFFFFF"/>
        <rFont val="Arial"/>
        <family val="0"/>
        <charset val="1"/>
      </rPr>
      <t xml:space="preserve">SSR </t>
    </r>
    <r>
      <rPr>
        <b val="true"/>
        <sz val="11"/>
        <color rgb="FFFFFFFF"/>
        <rFont val="WenQuanYi Zen Hei"/>
        <family val="2"/>
      </rPr>
      <t xml:space="preserve">최대</t>
    </r>
  </si>
  <si>
    <r>
      <rPr>
        <b val="true"/>
        <sz val="11"/>
        <color rgb="FFFFFFFF"/>
        <rFont val="Arial"/>
        <family val="0"/>
        <charset val="1"/>
      </rPr>
      <t xml:space="preserve">UR </t>
    </r>
    <r>
      <rPr>
        <b val="true"/>
        <sz val="11"/>
        <color rgb="FFFFFFFF"/>
        <rFont val="WenQuanYi Zen Hei"/>
        <family val="2"/>
      </rPr>
      <t xml:space="preserve">최대</t>
    </r>
  </si>
  <si>
    <r>
      <rPr>
        <b val="true"/>
        <sz val="11"/>
        <color rgb="FFFFFFFF"/>
        <rFont val="Arial"/>
        <family val="0"/>
        <charset val="1"/>
      </rPr>
      <t xml:space="preserve">L </t>
    </r>
    <r>
      <rPr>
        <b val="true"/>
        <sz val="11"/>
        <color rgb="FFFFFFFF"/>
        <rFont val="WenQuanYi Zen Hei"/>
        <family val="2"/>
      </rPr>
      <t xml:space="preserve">최대</t>
    </r>
  </si>
  <si>
    <r>
      <rPr>
        <b val="true"/>
        <sz val="11"/>
        <color rgb="FFFFFFFF"/>
        <rFont val="Arial"/>
        <family val="0"/>
        <charset val="1"/>
      </rPr>
      <t xml:space="preserve">E </t>
    </r>
    <r>
      <rPr>
        <b val="true"/>
        <sz val="11"/>
        <color rgb="FFFFFFFF"/>
        <rFont val="WenQuanYi Zen Hei"/>
        <family val="2"/>
      </rPr>
      <t xml:space="preserve">최대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</si>
  <si>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줄 전투력</t>
    </r>
    <r>
      <rPr>
        <b val="true"/>
        <sz val="11"/>
        <color rgb="FFFFFFFF"/>
        <rFont val="Arial"/>
        <family val="0"/>
        <charset val="1"/>
      </rPr>
      <t xml:space="preserve">(%)</t>
    </r>
  </si>
  <si>
    <r>
      <rPr>
        <b val="true"/>
        <sz val="11"/>
        <rFont val="WenQuanYi Zen Hei"/>
        <family val="2"/>
      </rPr>
      <t xml:space="preserve">공격력</t>
    </r>
    <r>
      <rPr>
        <b val="true"/>
        <sz val="11"/>
        <rFont val="Arial"/>
        <family val="0"/>
        <charset val="1"/>
      </rPr>
      <t xml:space="preserve">%</t>
    </r>
  </si>
  <si>
    <t xml:space="preserve">전 부위</t>
  </si>
  <si>
    <r>
      <rPr>
        <b val="true"/>
        <sz val="11"/>
        <rFont val="WenQuanYi Zen Hei"/>
        <family val="2"/>
      </rPr>
      <t xml:space="preserve">체력</t>
    </r>
    <r>
      <rPr>
        <b val="true"/>
        <sz val="11"/>
        <rFont val="Arial"/>
        <family val="0"/>
        <charset val="1"/>
      </rPr>
      <t xml:space="preserve">%</t>
    </r>
  </si>
  <si>
    <r>
      <rPr>
        <sz val="11"/>
        <rFont val="WenQuanYi Zen Hei"/>
        <family val="2"/>
      </rPr>
      <t xml:space="preserve">갑옷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벨트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소울 메달</t>
    </r>
  </si>
  <si>
    <r>
      <rPr>
        <sz val="11"/>
        <rFont val="WenQuanYi Zen Hei"/>
        <family val="2"/>
      </rPr>
      <t xml:space="preserve">무기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반지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목걸이</t>
    </r>
  </si>
  <si>
    <r>
      <rPr>
        <sz val="11"/>
        <rFont val="WenQuanYi Zen Hei"/>
        <family val="2"/>
      </rPr>
      <t xml:space="preserve">무기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반지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목걸이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소울 메달</t>
    </r>
  </si>
  <si>
    <r>
      <rPr>
        <sz val="11"/>
        <rFont val="WenQuanYi Zen Hei"/>
        <family val="2"/>
      </rPr>
      <t xml:space="preserve">갑옷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목걸이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소울 메달</t>
    </r>
  </si>
  <si>
    <r>
      <rPr>
        <sz val="11"/>
        <rFont val="WenQuanYi Zen Hei"/>
        <family val="2"/>
      </rPr>
      <t xml:space="preserve">무기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갑옷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목걸이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소울 메달</t>
    </r>
  </si>
  <si>
    <r>
      <rPr>
        <sz val="11"/>
        <rFont val="WenQuanYi Zen Hei"/>
        <family val="2"/>
      </rPr>
      <t xml:space="preserve">갑옷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벨트</t>
    </r>
  </si>
  <si>
    <r>
      <rPr>
        <sz val="11"/>
        <rFont val="WenQuanYi Zen Hei"/>
        <family val="2"/>
      </rPr>
      <t xml:space="preserve">무기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반지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소울 메달</t>
    </r>
  </si>
  <si>
    <r>
      <rPr>
        <b val="true"/>
        <sz val="11"/>
        <rFont val="WenQuanYi Zen Hei"/>
        <family val="2"/>
      </rPr>
      <t xml:space="preserve">기절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도발 지속</t>
    </r>
  </si>
  <si>
    <r>
      <rPr>
        <sz val="11"/>
        <rFont val="WenQuanYi Zen Hei"/>
        <family val="2"/>
      </rPr>
      <t xml:space="preserve">무기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갑옷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소울 메달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벨트</t>
    </r>
  </si>
  <si>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WenQuanYi Zen Hei"/>
        <family val="2"/>
      </rPr>
      <t xml:space="preserve">줄 전투력 </t>
    </r>
    <r>
      <rPr>
        <i val="true"/>
        <sz val="9"/>
        <color rgb="FF666666"/>
        <rFont val="Arial"/>
        <family val="0"/>
        <charset val="1"/>
      </rPr>
      <t xml:space="preserve">= R </t>
    </r>
    <r>
      <rPr>
        <i val="true"/>
        <sz val="9"/>
        <color rgb="FF666666"/>
        <rFont val="WenQuanYi Zen Hei"/>
        <family val="2"/>
      </rPr>
      <t xml:space="preserve">평균값</t>
    </r>
    <r>
      <rPr>
        <i val="true"/>
        <sz val="9"/>
        <color rgb="FF666666"/>
        <rFont val="Arial"/>
        <family val="0"/>
        <charset val="1"/>
      </rPr>
      <t xml:space="preserve">(%p) × </t>
    </r>
    <r>
      <rPr>
        <i val="true"/>
        <sz val="9"/>
        <color rgb="FF666666"/>
        <rFont val="WenQuanYi Zen Hei"/>
        <family val="2"/>
      </rPr>
      <t xml:space="preserve">전투력 가중치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딜 옵션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공격력</t>
    </r>
    <r>
      <rPr>
        <i val="true"/>
        <sz val="9"/>
        <color rgb="FF666666"/>
        <rFont val="Arial"/>
        <family val="0"/>
        <charset val="1"/>
      </rPr>
      <t xml:space="preserve">% </t>
    </r>
    <r>
      <rPr>
        <i val="true"/>
        <sz val="9"/>
        <color rgb="FF666666"/>
        <rFont val="WenQuanYi Zen Hei"/>
        <family val="2"/>
      </rPr>
      <t xml:space="preserve">등</t>
    </r>
    <r>
      <rPr>
        <i val="true"/>
        <sz val="9"/>
        <color rgb="FF666666"/>
        <rFont val="Arial"/>
        <family val="0"/>
        <charset val="1"/>
      </rPr>
      <t xml:space="preserve">) ≈ 1.1, </t>
    </r>
    <r>
      <rPr>
        <i val="true"/>
        <sz val="9"/>
        <color rgb="FF666666"/>
        <rFont val="WenQuanYi Zen Hei"/>
        <family val="2"/>
      </rPr>
      <t xml:space="preserve">생존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공략 옵션 ≈ </t>
    </r>
    <r>
      <rPr>
        <i val="true"/>
        <sz val="9"/>
        <color rgb="FF666666"/>
        <rFont val="Arial"/>
        <family val="0"/>
        <charset val="1"/>
      </rPr>
      <t xml:space="preserve">1.5 — </t>
    </r>
    <r>
      <rPr>
        <i val="true"/>
        <sz val="9"/>
        <color rgb="FF666666"/>
        <rFont val="WenQuanYi Zen Hei"/>
        <family val="2"/>
      </rPr>
      <t xml:space="preserve">딜찍누 억제를 위해 의도적으로 딜 옵션을 낮게 책정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</si>
  <si>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직업 특성 스탯 </t>
    </r>
    <r>
      <rPr>
        <b val="true"/>
        <sz val="14"/>
        <rFont val="Arial"/>
        <family val="0"/>
        <charset val="1"/>
      </rPr>
      <t xml:space="preserve">(L·E </t>
    </r>
    <r>
      <rPr>
        <b val="true"/>
        <sz val="14"/>
        <rFont val="WenQuanYi Zen Hei"/>
        <family val="2"/>
      </rPr>
      <t xml:space="preserve">전용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</si>
  <si>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L: 0~1</t>
    </r>
    <r>
      <rPr>
        <i val="true"/>
        <sz val="9"/>
        <color rgb="FF666666"/>
        <rFont val="WenQuanYi Zen Hei"/>
        <family val="2"/>
      </rPr>
      <t xml:space="preserve">개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스킬 보너스와 택</t>
    </r>
    <r>
      <rPr>
        <i val="true"/>
        <sz val="9"/>
        <color rgb="FF666666"/>
        <rFont val="Arial"/>
        <family val="0"/>
        <charset val="1"/>
      </rPr>
      <t xml:space="preserve">1), E: 1</t>
    </r>
    <r>
      <rPr>
        <i val="true"/>
        <sz val="9"/>
        <color rgb="FF666666"/>
        <rFont val="WenQuanYi Zen Hei"/>
        <family val="2"/>
      </rPr>
      <t xml:space="preserve">개</t>
    </r>
    <r>
      <rPr>
        <i val="true"/>
        <sz val="9"/>
        <color rgb="FF666666"/>
        <rFont val="Arial"/>
        <family val="0"/>
        <charset val="1"/>
      </rPr>
      <t xml:space="preserve">. E = L (</t>
    </r>
    <r>
      <rPr>
        <i val="true"/>
        <sz val="9"/>
        <color rgb="FF666666"/>
        <rFont val="WenQuanYi Zen Hei"/>
        <family val="2"/>
      </rPr>
      <t xml:space="preserve">상한 초과 누적 방지를 위해 동일 값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</si>
  <si>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캐릭터</t>
  </si>
  <si>
    <r>
      <rPr>
        <b val="true"/>
        <sz val="11"/>
        <color rgb="FFFFFFFF"/>
        <rFont val="Arial"/>
        <family val="0"/>
        <charset val="1"/>
      </rPr>
      <t xml:space="preserve">L </t>
    </r>
    <r>
      <rPr>
        <b val="true"/>
        <sz val="11"/>
        <color rgb="FFFFFFFF"/>
        <rFont val="WenQuanYi Zen Hei"/>
        <family val="2"/>
      </rPr>
      <t xml:space="preserve">값</t>
    </r>
  </si>
  <si>
    <r>
      <rPr>
        <b val="true"/>
        <sz val="11"/>
        <color rgb="FFFFFFFF"/>
        <rFont val="Arial"/>
        <family val="0"/>
        <charset val="1"/>
      </rPr>
      <t xml:space="preserve">E </t>
    </r>
    <r>
      <rPr>
        <b val="true"/>
        <sz val="11"/>
        <color rgb="FFFFFFFF"/>
        <rFont val="WenQuanYi Zen Hei"/>
        <family val="2"/>
      </rPr>
      <t xml:space="preserve">값</t>
    </r>
  </si>
  <si>
    <t xml:space="preserve">기본 공격력</t>
  </si>
  <si>
    <t xml:space="preserve">기본 체력</t>
  </si>
  <si>
    <t xml:space="preserve">토비</t>
  </si>
  <si>
    <t xml:space="preserve">단비</t>
  </si>
  <si>
    <t xml:space="preserve">별비</t>
  </si>
  <si>
    <t xml:space="preserve">솔담</t>
  </si>
  <si>
    <t xml:space="preserve">보리</t>
  </si>
  <si>
    <r>
      <rPr>
        <b val="true"/>
        <sz val="14"/>
        <rFont val="WenQuanYi Zen Hei"/>
        <family val="2"/>
      </rPr>
      <t xml:space="preserve">스킬 보너스 </t>
    </r>
    <r>
      <rPr>
        <b val="true"/>
        <sz val="14"/>
        <rFont val="Arial"/>
        <family val="0"/>
        <charset val="1"/>
      </rPr>
      <t xml:space="preserve">(L·E </t>
    </r>
    <r>
      <rPr>
        <b val="true"/>
        <sz val="14"/>
        <rFont val="WenQuanYi Zen Hei"/>
        <family val="2"/>
      </rPr>
      <t xml:space="preserve">전용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</si>
  <si>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E </t>
    </r>
    <r>
      <rPr>
        <i val="true"/>
        <sz val="9"/>
        <color rgb="FF666666"/>
        <rFont val="WenQuanYi Zen Hei"/>
        <family val="2"/>
      </rPr>
      <t xml:space="preserve">값 </t>
    </r>
    <r>
      <rPr>
        <i val="true"/>
        <sz val="9"/>
        <color rgb="FF666666"/>
        <rFont val="Arial"/>
        <family val="0"/>
        <charset val="1"/>
      </rPr>
      <t xml:space="preserve">= ROUND(L × E </t>
    </r>
    <r>
      <rPr>
        <i val="true"/>
        <sz val="9"/>
        <color rgb="FF666666"/>
        <rFont val="WenQuanYi Zen Hei"/>
        <family val="2"/>
      </rPr>
      <t xml:space="preserve">배율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WenQuanYi Zen Hei"/>
        <family val="2"/>
      </rPr>
      <t xml:space="preserve">단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횟수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초 단위 효과는 직접 지정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파란 글씨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WenQuanYi Zen Hei"/>
        <family val="2"/>
      </rPr>
      <t xml:space="preserve">직업 전용 </t>
    </r>
    <r>
      <rPr>
        <i val="true"/>
        <sz val="9"/>
        <color rgb="FF666666"/>
        <rFont val="Arial"/>
        <family val="0"/>
        <charset val="1"/>
      </rPr>
      <t xml:space="preserve">+ </t>
    </r>
    <r>
      <rPr>
        <i val="true"/>
        <sz val="9"/>
        <color rgb="FF666666"/>
        <rFont val="WenQuanYi Zen Hei"/>
        <family val="2"/>
      </rPr>
      <t xml:space="preserve">공통 풀에서 뽑힘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</si>
  <si>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E </t>
    </r>
    <r>
      <rPr>
        <b val="true"/>
        <sz val="11"/>
        <rFont val="WenQuanYi Zen Hei"/>
        <family val="2"/>
      </rPr>
      <t xml:space="preserve">배율</t>
    </r>
  </si>
  <si>
    <t xml:space="preserve">효과</t>
  </si>
  <si>
    <t xml:space="preserve">E/L</t>
  </si>
  <si>
    <t xml:space="preserve">s1_power</t>
  </si>
  <si>
    <t xml:space="preserve">s1_cd</t>
  </si>
  <si>
    <r>
      <rPr>
        <sz val="11"/>
        <rFont val="WenQuanYi Zen Hei"/>
        <family val="2"/>
      </rPr>
      <t xml:space="preserve">① 도발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</si>
  <si>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s2_power</t>
  </si>
  <si>
    <r>
      <rPr>
        <sz val="11"/>
        <rFont val="WenQuanYi Zen Hei"/>
        <family val="2"/>
      </rPr>
      <t xml:space="preserve">② 방패 강타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</si>
  <si>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방패 강타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</si>
  <si>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③ 철벽 피해 감소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]%p</t>
    </r>
  </si>
  <si>
    <r>
      <rPr>
        <sz val="11"/>
        <rFont val="WenQuanYi Zen Hei"/>
        <family val="2"/>
      </rPr>
      <t xml:space="preserve">③ 철벽 지속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  <r>
      <rPr>
        <sz val="11"/>
        <rFont val="WenQuanYi Zen Hei"/>
        <family val="2"/>
      </rPr>
      <t xml:space="preserve">초</t>
    </r>
  </si>
  <si>
    <r>
      <rPr>
        <sz val="11"/>
        <rFont val="WenQuanYi Zen Hei"/>
        <family val="2"/>
      </rPr>
      <t xml:space="preserve">① 급소 베기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</si>
  <si>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① 급소 베기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</si>
  <si>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회전 베기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</si>
  <si>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③ 난도질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</si>
  <si>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ult_hits</t>
  </si>
  <si>
    <r>
      <rPr>
        <sz val="11"/>
        <rFont val="WenQuanYi Zen Hei"/>
        <family val="2"/>
      </rPr>
      <t xml:space="preserve">③ 난도질 타수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</si>
  <si>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회</t>
  </si>
  <si>
    <r>
      <rPr>
        <sz val="11"/>
        <rFont val="WenQuanYi Zen Hei"/>
        <family val="2"/>
      </rPr>
      <t xml:space="preserve">① 관통 사격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</si>
  <si>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① 관통 사격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</si>
  <si>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화살비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</si>
  <si>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화살비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</si>
  <si>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t xml:space="preserve">ult_gain</t>
  </si>
  <si>
    <r>
      <rPr>
        <sz val="11"/>
        <rFont val="WenQuanYi Zen Hei"/>
        <family val="2"/>
      </rPr>
      <t xml:space="preserve">③ 필살기 충전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</si>
  <si>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① 별빛 탄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</si>
  <si>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① 별빛 탄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</si>
  <si>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유성우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</si>
  <si>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유성우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</si>
  <si>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③ 대마법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</si>
  <si>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① 치유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</si>
  <si>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광역 치유 회복량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</si>
  <si>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광역 치유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</si>
  <si>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③ 생명의 나무 회복량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</si>
  <si>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① 기본 스킬 위력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회복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</si>
  <si>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상황 스킬 위력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회복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</si>
  <si>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③ 필살기 위력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회복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</si>
  <si>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① 기본 스킬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</si>
  <si>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sz val="11"/>
        <rFont val="WenQuanYi Zen Hei"/>
        <family val="2"/>
      </rPr>
      <t xml:space="preserve">② 상황 스킬 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]%</t>
    </r>
  </si>
  <si>
    <r>
      <rPr>
        <b val="true"/>
        <sz val="14"/>
        <rFont val="WenQuanYi Zen Hei"/>
        <family val="2"/>
      </rPr>
      <t xml:space="preserve">보석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스테이지 보스 보상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</si>
  <si>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주 효과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기본값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WenQuanYi Zen Hei"/>
        <family val="2"/>
      </rPr>
      <t xml:space="preserve">보석 수치 배율</t>
    </r>
    <r>
      <rPr>
        <i val="true"/>
        <sz val="9"/>
        <color rgb="FF666666"/>
        <rFont val="Arial"/>
        <family val="0"/>
        <charset val="1"/>
      </rPr>
      <t xml:space="preserve">. 2·3</t>
    </r>
    <r>
      <rPr>
        <i val="true"/>
        <sz val="9"/>
        <color rgb="FF666666"/>
        <rFont val="WenQuanYi Zen Hei"/>
        <family val="2"/>
      </rPr>
      <t xml:space="preserve">번째 효과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다른 보석 효과 또는 스킬 효과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값 </t>
    </r>
    <r>
      <rPr>
        <i val="true"/>
        <sz val="9"/>
        <color rgb="FF666666"/>
        <rFont val="Arial"/>
        <family val="0"/>
        <charset val="1"/>
      </rPr>
      <t xml:space="preserve">× </t>
    </r>
    <r>
      <rPr>
        <i val="true"/>
        <sz val="9"/>
        <color rgb="FF666666"/>
        <rFont val="WenQuanYi Zen Hei"/>
        <family val="2"/>
      </rPr>
      <t xml:space="preserve">추가 효과 비율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</si>
  <si>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추가 효과 비율</t>
  </si>
  <si>
    <t xml:space="preserve">보석</t>
  </si>
  <si>
    <t xml:space="preserve">효과 스탯</t>
  </si>
  <si>
    <t xml:space="preserve">기본값</t>
  </si>
  <si>
    <t xml:space="preserve">ruby</t>
  </si>
  <si>
    <t xml:space="preserve">루비</t>
  </si>
  <si>
    <t xml:space="preserve">sapphire</t>
  </si>
  <si>
    <t xml:space="preserve">사파이어</t>
  </si>
  <si>
    <t xml:space="preserve">emerald</t>
  </si>
  <si>
    <t xml:space="preserve">에메랄드</t>
  </si>
  <si>
    <t xml:space="preserve">topaz</t>
  </si>
  <si>
    <t xml:space="preserve">토파즈</t>
  </si>
  <si>
    <t xml:space="preserve">amethyst</t>
  </si>
  <si>
    <t xml:space="preserve">자수정</t>
  </si>
  <si>
    <t xml:space="preserve">diamond</t>
  </si>
  <si>
    <t xml:space="preserve">다이아</t>
  </si>
  <si>
    <t xml:space="preserve">opal</t>
  </si>
  <si>
    <t xml:space="preserve">오팔</t>
  </si>
  <si>
    <t xml:space="preserve">pearl</t>
  </si>
  <si>
    <t xml:space="preserve">진주</t>
  </si>
  <si>
    <t xml:space="preserve">obsidian</t>
  </si>
  <si>
    <t xml:space="preserve">흑요석</t>
  </si>
  <si>
    <r>
      <rPr>
        <b val="true"/>
        <sz val="11"/>
        <rFont val="WenQuanYi Zen Hei"/>
        <family val="2"/>
      </rPr>
      <t xml:space="preserve">스킬 효과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추가 효과 전용</t>
    </r>
    <r>
      <rPr>
        <b val="true"/>
        <sz val="11"/>
        <rFont val="Arial"/>
        <family val="0"/>
        <charset val="1"/>
      </rPr>
      <t xml:space="preserve">)</t>
    </r>
  </si>
  <si>
    <t xml:space="preserve">① 기본 스킬 위력</t>
  </si>
  <si>
    <t xml:space="preserve">② 상황 스킬 위력</t>
  </si>
  <si>
    <t xml:space="preserve">③ 필살기 위력</t>
  </si>
  <si>
    <t xml:space="preserve">효과 개수</t>
  </si>
  <si>
    <r>
      <rPr>
        <b val="true"/>
        <sz val="14"/>
        <rFont val="WenQuanYi Zen Hei"/>
        <family val="2"/>
      </rPr>
      <t xml:space="preserve">난이도 단계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영구 장비 성장 대응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</si>
  <si>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적 배율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권장 등급 풀세트로 기믹 공략 시 승률 </t>
    </r>
    <r>
      <rPr>
        <i val="true"/>
        <sz val="9"/>
        <color rgb="FF666666"/>
        <rFont val="Arial"/>
        <family val="0"/>
        <charset val="1"/>
      </rPr>
      <t xml:space="preserve">85%</t>
    </r>
    <r>
      <rPr>
        <i val="true"/>
        <sz val="9"/>
        <color rgb="FF666666"/>
        <rFont val="WenQuanYi Zen Hei"/>
        <family val="2"/>
      </rPr>
      <t xml:space="preserve">가 되는 지점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시뮬 보정 → 로그 회귀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</si>
  <si>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단계</t>
  </si>
  <si>
    <t xml:space="preserve">적 체력 배율</t>
  </si>
  <si>
    <t xml:space="preserve">적 공격력 배율</t>
  </si>
  <si>
    <t xml:space="preserve">권장 장비</t>
  </si>
  <si>
    <r>
      <rPr>
        <b val="true"/>
        <sz val="11"/>
        <color rgb="FFFFFFFF"/>
        <rFont val="WenQuanYi Zen Hei"/>
        <family val="2"/>
      </rPr>
      <t xml:space="preserve">보정 실측</t>
    </r>
    <r>
      <rPr>
        <b val="true"/>
        <sz val="11"/>
        <color rgb="FFFFFFFF"/>
        <rFont val="Arial"/>
        <family val="0"/>
        <charset val="1"/>
      </rPr>
      <t xml:space="preserve">(85% </t>
    </r>
    <r>
      <rPr>
        <b val="true"/>
        <sz val="11"/>
        <color rgb="FFFFFFFF"/>
        <rFont val="WenQuanYi Zen Hei"/>
        <family val="2"/>
      </rPr>
      <t xml:space="preserve">지점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</si>
  <si>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회귀 곡선</t>
  </si>
  <si>
    <t xml:space="preserve">전 단계 대비</t>
  </si>
  <si>
    <t xml:space="preserve">견습</t>
  </si>
  <si>
    <t xml:space="preserve">숙련</t>
  </si>
  <si>
    <t xml:space="preserve">정예</t>
  </si>
  <si>
    <t xml:space="preserve">영웅</t>
  </si>
  <si>
    <t xml:space="preserve">전설</t>
  </si>
  <si>
    <t xml:space="preserve">신화</t>
  </si>
  <si>
    <t xml:space="preserve">고대</t>
  </si>
  <si>
    <t xml:space="preserve">태초</t>
  </si>
  <si>
    <r>
      <rPr>
        <i val="true"/>
        <sz val="9"/>
        <color rgb="FF666666"/>
        <rFont val="WenQuanYi Zen Hei"/>
        <family val="2"/>
      </rPr>
      <t xml:space="preserve">배율 </t>
    </r>
    <r>
      <rPr>
        <i val="true"/>
        <sz val="9"/>
        <color rgb="FF666666"/>
        <rFont val="Arial"/>
        <family val="0"/>
        <charset val="1"/>
      </rPr>
      <t xml:space="preserve">1.00 = </t>
    </r>
    <r>
      <rPr>
        <i val="true"/>
        <sz val="9"/>
        <color rgb="FF666666"/>
        <rFont val="WenQuanYi Zen Hei"/>
        <family val="2"/>
      </rPr>
      <t xml:space="preserve">데모 기본 던전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장비 없음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WenQuanYi Zen Hei"/>
        <family val="2"/>
      </rPr>
      <t xml:space="preserve">견습</t>
    </r>
    <r>
      <rPr>
        <i val="true"/>
        <sz val="9"/>
        <color rgb="FF666666"/>
        <rFont val="Arial"/>
        <family val="0"/>
        <charset val="1"/>
      </rPr>
      <t xml:space="preserve">(T1)</t>
    </r>
    <r>
      <rPr>
        <i val="true"/>
        <sz val="9"/>
        <color rgb="FF666666"/>
        <rFont val="WenQuanYi Zen Hei"/>
        <family val="2"/>
      </rPr>
      <t xml:space="preserve">부터 장비를 갖춘 원정대를 가정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</si>
  <si>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드랍 테이블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등급 확률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</si>
  <si>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가중치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입력</t>
    </r>
    <r>
      <rPr>
        <i val="true"/>
        <sz val="9"/>
        <color rgb="FF666666"/>
        <rFont val="Arial"/>
        <family val="0"/>
        <charset val="1"/>
      </rPr>
      <t xml:space="preserve">) → </t>
    </r>
    <r>
      <rPr>
        <i val="true"/>
        <sz val="9"/>
        <color rgb="FF666666"/>
        <rFont val="WenQuanYi Zen Hei"/>
        <family val="2"/>
      </rPr>
      <t xml:space="preserve">확률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수식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WenQuanYi Zen Hei"/>
        <family val="2"/>
      </rPr>
      <t xml:space="preserve">출처별 중심 등급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일반 </t>
    </r>
    <r>
      <rPr>
        <i val="true"/>
        <sz val="9"/>
        <color rgb="FF666666"/>
        <rFont val="Arial"/>
        <family val="0"/>
        <charset val="1"/>
      </rPr>
      <t xml:space="preserve">-0.6, </t>
    </r>
    <r>
      <rPr>
        <i val="true"/>
        <sz val="9"/>
        <color rgb="FF666666"/>
        <rFont val="WenQuanYi Zen Hei"/>
        <family val="2"/>
      </rPr>
      <t xml:space="preserve">정예 </t>
    </r>
    <r>
      <rPr>
        <i val="true"/>
        <sz val="9"/>
        <color rgb="FF666666"/>
        <rFont val="Arial"/>
        <family val="0"/>
        <charset val="1"/>
      </rPr>
      <t xml:space="preserve">+0.4, </t>
    </r>
    <r>
      <rPr>
        <i val="true"/>
        <sz val="9"/>
        <color rgb="FF666666"/>
        <rFont val="WenQuanYi Zen Hei"/>
        <family val="2"/>
      </rPr>
      <t xml:space="preserve">보스 </t>
    </r>
    <r>
      <rPr>
        <i val="true"/>
        <sz val="9"/>
        <color rgb="FF666666"/>
        <rFont val="Arial"/>
        <family val="0"/>
        <charset val="1"/>
      </rPr>
      <t xml:space="preserve">+1.0, </t>
    </r>
    <r>
      <rPr>
        <i val="true"/>
        <sz val="9"/>
        <color rgb="FF666666"/>
        <rFont val="WenQuanYi Zen Hei"/>
        <family val="2"/>
      </rPr>
      <t xml:space="preserve">상점 </t>
    </r>
    <r>
      <rPr>
        <i val="true"/>
        <sz val="9"/>
        <color rgb="FF666666"/>
        <rFont val="Arial"/>
        <family val="0"/>
        <charset val="1"/>
      </rPr>
      <t xml:space="preserve">-1.0 (</t>
    </r>
    <r>
      <rPr>
        <i val="true"/>
        <sz val="9"/>
        <color rgb="FF666666"/>
        <rFont val="WenQuanYi Zen Hei"/>
        <family val="2"/>
      </rPr>
      <t xml:space="preserve">난이도 단계 기준</t>
    </r>
    <r>
      <rPr>
        <i val="true"/>
        <sz val="9"/>
        <color rgb="FF666666"/>
        <rFont val="Arial"/>
        <family val="0"/>
        <charset val="1"/>
      </rPr>
      <t xml:space="preserve">).</t>
    </r>
  </si>
  <si>
    <r>
      <rPr>
        <b val="true"/>
        <sz val="11"/>
        <rFont val="WenQuanYi Zen Hei"/>
        <family val="2"/>
      </rPr>
      <t xml:space="preserve">일반 전투 보상</t>
    </r>
    <r>
      <rPr>
        <b val="true"/>
        <sz val="11"/>
        <rFont val="Arial"/>
        <family val="0"/>
        <charset val="1"/>
      </rPr>
      <t xml:space="preserve">(3</t>
    </r>
    <r>
      <rPr>
        <b val="true"/>
        <sz val="11"/>
        <rFont val="WenQuanYi Zen Hei"/>
        <family val="2"/>
      </rPr>
      <t xml:space="preserve">택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중 장비 카드</t>
    </r>
    <r>
      <rPr>
        <b val="true"/>
        <sz val="11"/>
        <rFont val="Arial"/>
        <family val="0"/>
        <charset val="1"/>
      </rPr>
      <t xml:space="preserve">)</t>
    </r>
  </si>
  <si>
    <t xml:space="preserve">난이도</t>
  </si>
  <si>
    <r>
      <rPr>
        <b val="true"/>
        <sz val="11"/>
        <color rgb="FFFFFFFF"/>
        <rFont val="Arial"/>
        <family val="0"/>
        <charset val="1"/>
      </rPr>
      <t xml:space="preserve">UC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</si>
  <si>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C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</si>
  <si>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R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</si>
  <si>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SR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</si>
  <si>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SSR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</si>
  <si>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UR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</si>
  <si>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L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</si>
  <si>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E </t>
    </r>
    <r>
      <rPr>
        <b val="true"/>
        <sz val="11"/>
        <color rgb="FFFFFFFF"/>
        <rFont val="WenQuanYi Zen Hei"/>
        <family val="2"/>
      </rPr>
      <t xml:space="preserve">가중치</t>
    </r>
  </si>
  <si>
    <r>
      <rPr>
        <b val="true"/>
        <sz val="11"/>
        <color rgb="FFFFFFFF"/>
        <rFont val="Arial"/>
        <family val="0"/>
        <charset val="1"/>
      </rPr>
      <t xml:space="preserve">UC </t>
    </r>
    <r>
      <rPr>
        <b val="true"/>
        <sz val="11"/>
        <color rgb="FFFFFFFF"/>
        <rFont val="WenQuanYi Zen Hei"/>
        <family val="2"/>
      </rPr>
      <t xml:space="preserve">확률</t>
    </r>
  </si>
  <si>
    <r>
      <rPr>
        <b val="true"/>
        <sz val="11"/>
        <color rgb="FFFFFFFF"/>
        <rFont val="Arial"/>
        <family val="0"/>
        <charset val="1"/>
      </rPr>
      <t xml:space="preserve">C </t>
    </r>
    <r>
      <rPr>
        <b val="true"/>
        <sz val="11"/>
        <color rgb="FFFFFFFF"/>
        <rFont val="WenQuanYi Zen Hei"/>
        <family val="2"/>
      </rPr>
      <t xml:space="preserve">확률</t>
    </r>
  </si>
  <si>
    <r>
      <rPr>
        <b val="true"/>
        <sz val="11"/>
        <color rgb="FFFFFFFF"/>
        <rFont val="Arial"/>
        <family val="0"/>
        <charset val="1"/>
      </rPr>
      <t xml:space="preserve">R </t>
    </r>
    <r>
      <rPr>
        <b val="true"/>
        <sz val="11"/>
        <color rgb="FFFFFFFF"/>
        <rFont val="WenQuanYi Zen Hei"/>
        <family val="2"/>
      </rPr>
      <t xml:space="preserve">확률</t>
    </r>
  </si>
  <si>
    <r>
      <rPr>
        <b val="true"/>
        <sz val="11"/>
        <color rgb="FFFFFFFF"/>
        <rFont val="Arial"/>
        <family val="0"/>
        <charset val="1"/>
      </rPr>
      <t xml:space="preserve">SR </t>
    </r>
    <r>
      <rPr>
        <b val="true"/>
        <sz val="11"/>
        <color rgb="FFFFFFFF"/>
        <rFont val="WenQuanYi Zen Hei"/>
        <family val="2"/>
      </rPr>
      <t xml:space="preserve">확률</t>
    </r>
  </si>
  <si>
    <r>
      <rPr>
        <b val="true"/>
        <sz val="11"/>
        <color rgb="FFFFFFFF"/>
        <rFont val="Arial"/>
        <family val="0"/>
        <charset val="1"/>
      </rPr>
      <t xml:space="preserve">SSR </t>
    </r>
    <r>
      <rPr>
        <b val="true"/>
        <sz val="11"/>
        <color rgb="FFFFFFFF"/>
        <rFont val="WenQuanYi Zen Hei"/>
        <family val="2"/>
      </rPr>
      <t xml:space="preserve">확률</t>
    </r>
  </si>
  <si>
    <r>
      <rPr>
        <b val="true"/>
        <sz val="11"/>
        <color rgb="FFFFFFFF"/>
        <rFont val="Arial"/>
        <family val="0"/>
        <charset val="1"/>
      </rPr>
      <t xml:space="preserve">UR </t>
    </r>
    <r>
      <rPr>
        <b val="true"/>
        <sz val="11"/>
        <color rgb="FFFFFFFF"/>
        <rFont val="WenQuanYi Zen Hei"/>
        <family val="2"/>
      </rPr>
      <t xml:space="preserve">확률</t>
    </r>
  </si>
  <si>
    <r>
      <rPr>
        <b val="true"/>
        <sz val="11"/>
        <color rgb="FFFFFFFF"/>
        <rFont val="Arial"/>
        <family val="0"/>
        <charset val="1"/>
      </rPr>
      <t xml:space="preserve">L </t>
    </r>
    <r>
      <rPr>
        <b val="true"/>
        <sz val="11"/>
        <color rgb="FFFFFFFF"/>
        <rFont val="WenQuanYi Zen Hei"/>
        <family val="2"/>
      </rPr>
      <t xml:space="preserve">확률</t>
    </r>
  </si>
  <si>
    <r>
      <rPr>
        <b val="true"/>
        <sz val="11"/>
        <color rgb="FFFFFFFF"/>
        <rFont val="Arial"/>
        <family val="0"/>
        <charset val="1"/>
      </rPr>
      <t xml:space="preserve">E </t>
    </r>
    <r>
      <rPr>
        <b val="true"/>
        <sz val="11"/>
        <color rgb="FFFFFFFF"/>
        <rFont val="WenQuanYi Zen Hei"/>
        <family val="2"/>
      </rPr>
      <t xml:space="preserve">확률</t>
    </r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</si>
  <si>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</si>
  <si>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</si>
  <si>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</si>
  <si>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</si>
  <si>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</si>
  <si>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</si>
  <si>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</si>
  <si>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</si>
  <si>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정예 처치</t>
  </si>
  <si>
    <r>
      <rPr>
        <b val="true"/>
        <sz val="11"/>
        <rFont val="WenQuanYi Zen Hei"/>
        <family val="2"/>
      </rPr>
      <t xml:space="preserve">보스 처치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장비 </t>
    </r>
    <r>
      <rPr>
        <b val="true"/>
        <sz val="11"/>
        <rFont val="Arial"/>
        <family val="0"/>
        <charset val="1"/>
      </rPr>
      <t xml:space="preserve">1 + </t>
    </r>
    <r>
      <rPr>
        <b val="true"/>
        <sz val="11"/>
        <rFont val="WenQuanYi Zen Hei"/>
        <family val="2"/>
      </rPr>
      <t xml:space="preserve">보석 </t>
    </r>
    <r>
      <rPr>
        <b val="true"/>
        <sz val="11"/>
        <rFont val="Arial"/>
        <family val="0"/>
        <charset val="1"/>
      </rPr>
      <t xml:space="preserve">1)</t>
    </r>
  </si>
  <si>
    <t xml:space="preserve">던전 상인 판매</t>
  </si>
  <si>
    <t xml:space="preserve">갑옷 랜덤 패시브</t>
  </si>
  <si>
    <r>
      <rPr>
        <i val="true"/>
        <sz val="9"/>
        <color rgb="FF666666"/>
        <rFont val="WenQuanYi Zen Hei"/>
        <family val="2"/>
      </rPr>
      <t xml:space="preserve">이름 고정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등급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배율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패시브 등급은 장비 등급 이하에서 굴림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같음</t>
    </r>
    <r>
      <rPr>
        <i val="true"/>
        <sz val="9"/>
        <color rgb="FF666666"/>
        <rFont val="Arial"/>
        <family val="0"/>
        <charset val="1"/>
      </rPr>
      <t xml:space="preserve">/−1/−2/</t>
    </r>
    <r>
      <rPr>
        <i val="true"/>
        <sz val="9"/>
        <color rgb="FF666666"/>
        <rFont val="WenQuanYi Zen Hei"/>
        <family val="2"/>
      </rPr>
      <t xml:space="preserve">그 아래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가중치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WenQuanYi Zen Hei"/>
        <family val="2"/>
      </rPr>
      <t xml:space="preserve">같은 이름은 최고 등급 하나만 적용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</si>
  <si>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등급 굴림 가중치</t>
  </si>
  <si>
    <t xml:space="preserve">같은 등급</t>
  </si>
  <si>
    <t xml:space="preserve">−1</t>
  </si>
  <si>
    <t xml:space="preserve">−2</t>
  </si>
  <si>
    <r>
      <rPr>
        <sz val="11"/>
        <rFont val="Arial"/>
        <family val="0"/>
        <charset val="1"/>
      </rPr>
      <t xml:space="preserve">−3 </t>
    </r>
    <r>
      <rPr>
        <sz val="11"/>
        <rFont val="WenQuanYi Zen Hei"/>
        <family val="2"/>
      </rPr>
      <t xml:space="preserve">이하</t>
    </r>
  </si>
  <si>
    <t xml:space="preserve">등급 배율 →</t>
  </si>
  <si>
    <t xml:space="preserve">최저 등급</t>
  </si>
  <si>
    <t xml:space="preserve">종류</t>
  </si>
  <si>
    <r>
      <rPr>
        <b val="true"/>
        <sz val="11"/>
        <color rgb="FFFFFFFF"/>
        <rFont val="Arial"/>
        <family val="0"/>
        <charset val="1"/>
      </rPr>
      <t xml:space="preserve">UC </t>
    </r>
    <r>
      <rPr>
        <b val="true"/>
        <sz val="11"/>
        <color rgb="FFFFFFFF"/>
        <rFont val="WenQuanYi Zen Hei"/>
        <family val="2"/>
      </rPr>
      <t xml:space="preserve">기준 값</t>
    </r>
  </si>
  <si>
    <t xml:space="preserve">고정 단점</t>
  </si>
  <si>
    <t xml:space="preserve">iron_heart</t>
  </si>
  <si>
    <t xml:space="preserve">무쇠 심장</t>
  </si>
  <si>
    <t xml:space="preserve">수치형</t>
  </si>
  <si>
    <r>
      <rPr>
        <sz val="11"/>
        <rFont val="WenQuanYi Zen Hei"/>
        <family val="2"/>
      </rPr>
      <t xml:space="preserve">최대 </t>
    </r>
    <r>
      <rPr>
        <sz val="11"/>
        <rFont val="Arial"/>
        <family val="0"/>
        <charset val="1"/>
      </rPr>
      <t xml:space="preserve">HP 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</si>
  <si>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trained_arm</t>
  </si>
  <si>
    <t xml:space="preserve">단련된 팔</t>
  </si>
  <si>
    <r>
      <rPr>
        <sz val="11"/>
        <rFont val="WenQuanYi Zen Hei"/>
        <family val="2"/>
      </rPr>
      <t xml:space="preserve">공격력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</si>
  <si>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light_feet</t>
  </si>
  <si>
    <t xml:space="preserve">가벼운 발</t>
  </si>
  <si>
    <r>
      <rPr>
        <sz val="11"/>
        <rFont val="WenQuanYi Zen Hei"/>
        <family val="2"/>
      </rPr>
      <t xml:space="preserve">이동 속도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</si>
  <si>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clear_mind</t>
  </si>
  <si>
    <t xml:space="preserve">맑은 정신</t>
  </si>
  <si>
    <r>
      <rPr>
        <sz val="11"/>
        <rFont val="WenQuanYi Zen Hei"/>
        <family val="2"/>
      </rPr>
      <t xml:space="preserve">쿨타임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</si>
  <si>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oath_guard</t>
  </si>
  <si>
    <t xml:space="preserve">수호의 맹세</t>
  </si>
  <si>
    <r>
      <rPr>
        <sz val="11"/>
        <rFont val="WenQuanYi Zen Hei"/>
        <family val="2"/>
      </rPr>
      <t xml:space="preserve">받는 피해 </t>
    </r>
    <r>
      <rPr>
        <sz val="11"/>
        <rFont val="Arial"/>
        <family val="0"/>
        <charset val="1"/>
      </rPr>
      <t xml:space="preserve">-[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</si>
  <si>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breaker</t>
  </si>
  <si>
    <t xml:space="preserve">부수는 손</t>
  </si>
  <si>
    <r>
      <rPr>
        <sz val="11"/>
        <rFont val="WenQuanYi Zen Hei"/>
        <family val="2"/>
      </rPr>
      <t xml:space="preserve">그로기 피해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</si>
  <si>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hawk_eye</t>
  </si>
  <si>
    <t xml:space="preserve">매의 눈</t>
  </si>
  <si>
    <r>
      <rPr>
        <sz val="11"/>
        <rFont val="WenQuanYi Zen Hei"/>
        <family val="2"/>
      </rPr>
      <t xml:space="preserve">치명타 확률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</si>
  <si>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finisher</t>
  </si>
  <si>
    <t xml:space="preserve">결정타</t>
  </si>
  <si>
    <r>
      <rPr>
        <sz val="11"/>
        <rFont val="WenQuanYi Zen Hei"/>
        <family val="2"/>
      </rPr>
      <t xml:space="preserve">그로기 적에게 피해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</si>
  <si>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firefly</t>
  </si>
  <si>
    <t xml:space="preserve">반딧불 신호</t>
  </si>
  <si>
    <t xml:space="preserve">규칙형</t>
  </si>
  <si>
    <t xml:space="preserve">first_breath</t>
  </si>
  <si>
    <t xml:space="preserve">첫 숨결</t>
  </si>
  <si>
    <r>
      <rPr>
        <sz val="11"/>
        <rFont val="WenQuanYi Zen Hei"/>
        <family val="2"/>
      </rPr>
      <t xml:space="preserve">전투 시작 시 필살기 게이지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</si>
  <si>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stubborn</t>
  </si>
  <si>
    <t xml:space="preserve">끈질긴 생명</t>
  </si>
  <si>
    <r>
      <rPr>
        <sz val="11"/>
        <rFont val="Arial"/>
        <family val="0"/>
        <charset val="1"/>
      </rPr>
      <t xml:space="preserve">HP 25% </t>
    </r>
    <r>
      <rPr>
        <sz val="11"/>
        <rFont val="WenQuanYi Zen Hei"/>
        <family val="2"/>
      </rPr>
      <t xml:space="preserve">이하가 되면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 </t>
    </r>
    <r>
      <rPr>
        <sz val="11"/>
        <rFont val="WenQuanYi Zen Hei"/>
        <family val="2"/>
      </rPr>
      <t xml:space="preserve">무적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전투당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)</t>
    </r>
  </si>
  <si>
    <t xml:space="preserve">hunter_rain</t>
  </si>
  <si>
    <t xml:space="preserve">여우비</t>
  </si>
  <si>
    <r>
      <rPr>
        <sz val="11"/>
        <rFont val="WenQuanYi Zen Hei"/>
        <family val="2"/>
      </rPr>
      <t xml:space="preserve">적이 그로기에 빠지면 ② 쿨타임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 </t>
    </r>
    <r>
      <rPr>
        <sz val="11"/>
        <rFont val="WenQuanYi Zen Hei"/>
        <family val="2"/>
      </rPr>
      <t xml:space="preserve">감소</t>
    </r>
  </si>
  <si>
    <t xml:space="preserve">old_root</t>
  </si>
  <si>
    <t xml:space="preserve">늙은 참나무의 뿌리</t>
  </si>
  <si>
    <t xml:space="preserve">트레이드오프</t>
  </si>
  <si>
    <r>
      <rPr>
        <sz val="11"/>
        <rFont val="WenQuanYi Zen Hei"/>
        <family val="2"/>
      </rPr>
      <t xml:space="preserve">이동 속도 </t>
    </r>
    <r>
      <rPr>
        <sz val="11"/>
        <rFont val="Arial"/>
        <family val="0"/>
        <charset val="1"/>
      </rPr>
      <t xml:space="preserve">-20%</t>
    </r>
  </si>
  <si>
    <t xml:space="preserve">berserk</t>
  </si>
  <si>
    <t xml:space="preserve">광전사의 피</t>
  </si>
  <si>
    <r>
      <rPr>
        <sz val="11"/>
        <rFont val="WenQuanYi Zen Hei"/>
        <family val="2"/>
      </rPr>
      <t xml:space="preserve">받는 피해 </t>
    </r>
    <r>
      <rPr>
        <sz val="11"/>
        <rFont val="Arial"/>
        <family val="0"/>
        <charset val="1"/>
      </rPr>
      <t xml:space="preserve">+12%</t>
    </r>
  </si>
  <si>
    <t xml:space="preserve">moon_oath</t>
  </si>
  <si>
    <t xml:space="preserve">달빛 맹세</t>
  </si>
  <si>
    <r>
      <rPr>
        <sz val="11"/>
        <rFont val="WenQuanYi Zen Hei"/>
        <family val="2"/>
      </rPr>
      <t xml:space="preserve">그로기 게이지가 있는 적이 그로기가 아닐 때 피해 </t>
    </r>
    <r>
      <rPr>
        <sz val="11"/>
        <rFont val="Arial"/>
        <family val="0"/>
        <charset val="1"/>
      </rPr>
      <t xml:space="preserve">-20%</t>
    </r>
  </si>
  <si>
    <t xml:space="preserve">first_light</t>
  </si>
  <si>
    <t xml:space="preserve">숲의 첫 숨</t>
  </si>
  <si>
    <r>
      <rPr>
        <sz val="11"/>
        <rFont val="WenQuanYi Zen Hei"/>
        <family val="2"/>
      </rPr>
      <t xml:space="preserve">필살기 위력 </t>
    </r>
    <r>
      <rPr>
        <sz val="11"/>
        <rFont val="Arial"/>
        <family val="0"/>
        <charset val="1"/>
      </rPr>
      <t xml:space="preserve">+[</t>
    </r>
    <r>
      <rPr>
        <sz val="11"/>
        <rFont val="WenQuanYi Zen Hei"/>
        <family val="2"/>
      </rPr>
      <t xml:space="preserve">값</t>
    </r>
    <r>
      <rPr>
        <sz val="11"/>
        <rFont val="Arial"/>
        <family val="0"/>
        <charset val="1"/>
      </rPr>
      <t xml:space="preserve">]</t>
    </r>
  </si>
  <si>
    <t xml:space="preserve">필살기 게이지는 그로기 적이 있을 때만 참</t>
  </si>
  <si>
    <t xml:space="preserve">장비 강화</t>
  </si>
  <si>
    <r>
      <rPr>
        <i val="true"/>
        <sz val="9"/>
        <color rgb="FF666666"/>
        <rFont val="WenQuanYi Zen Hei"/>
        <family val="2"/>
      </rPr>
      <t xml:space="preserve">실패 보정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실패마다 기본 확률의 </t>
    </r>
    <r>
      <rPr>
        <i val="true"/>
        <sz val="9"/>
        <color rgb="FF666666"/>
        <rFont val="Arial"/>
        <family val="0"/>
        <charset val="1"/>
      </rPr>
      <t xml:space="preserve">10%</t>
    </r>
    <r>
      <rPr>
        <i val="true"/>
        <sz val="9"/>
        <color rgb="FF666666"/>
        <rFont val="WenQuanYi Zen Hei"/>
        <family val="2"/>
      </rPr>
      <t xml:space="preserve">씩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최대 </t>
    </r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WenQuanYi Zen Hei"/>
        <family val="2"/>
      </rPr>
      <t xml:space="preserve">배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WenQuanYi Zen Hei"/>
        <family val="2"/>
      </rPr>
      <t xml:space="preserve">장인의 기운 </t>
    </r>
    <r>
      <rPr>
        <i val="true"/>
        <sz val="9"/>
        <color rgb="FF666666"/>
        <rFont val="Arial"/>
        <family val="0"/>
        <charset val="1"/>
      </rPr>
      <t xml:space="preserve">+= </t>
    </r>
    <r>
      <rPr>
        <i val="true"/>
        <sz val="9"/>
        <color rgb="FF666666"/>
        <rFont val="WenQuanYi Zen Hei"/>
        <family val="2"/>
      </rPr>
      <t xml:space="preserve">현재 확률 </t>
    </r>
    <r>
      <rPr>
        <i val="true"/>
        <sz val="9"/>
        <color rgb="FF666666"/>
        <rFont val="Arial"/>
        <family val="0"/>
        <charset val="1"/>
      </rPr>
      <t xml:space="preserve">× 0.465, 100%</t>
    </r>
    <r>
      <rPr>
        <i val="true"/>
        <sz val="9"/>
        <color rgb="FF666666"/>
        <rFont val="WenQuanYi Zen Hei"/>
        <family val="2"/>
      </rPr>
      <t xml:space="preserve">면 확정 성공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장비 파괴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WenQuanYi Zen Hei"/>
        <family val="2"/>
      </rPr>
      <t xml:space="preserve">단계 하락 없음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</si>
  <si>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단계당 주 스탯</t>
  </si>
  <si>
    <t xml:space="preserve">보정 단위</t>
  </si>
  <si>
    <t xml:space="preserve">장인 계수</t>
  </si>
  <si>
    <t xml:space="preserve">목표 단계</t>
  </si>
  <si>
    <t xml:space="preserve">기본 확률</t>
  </si>
  <si>
    <r>
      <rPr>
        <b val="true"/>
        <sz val="11"/>
        <color rgb="FFFFFFFF"/>
        <rFont val="WenQuanYi Zen Hei"/>
        <family val="2"/>
      </rPr>
      <t xml:space="preserve">최대 확률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보정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</si>
  <si>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강화석</t>
  </si>
  <si>
    <t xml:space="preserve">골드</t>
  </si>
  <si>
    <t xml:space="preserve">주 스탯 누적</t>
  </si>
  <si>
    <r>
      <rPr>
        <b val="true"/>
        <sz val="11"/>
        <color rgb="FFFFFFFF"/>
        <rFont val="WenQuanYi Zen Hei"/>
        <family val="2"/>
      </rPr>
      <t xml:space="preserve">기운만으로 확정까지 실패 횟수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근사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</si>
  <si>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외형</t>
  </si>
  <si>
    <t xml:space="preserve">+1</t>
  </si>
  <si>
    <t xml:space="preserve">+2</t>
  </si>
  <si>
    <t xml:space="preserve">+3</t>
  </si>
  <si>
    <t xml:space="preserve">+4</t>
  </si>
  <si>
    <t xml:space="preserve">+5</t>
  </si>
  <si>
    <r>
      <rPr>
        <sz val="11"/>
        <rFont val="WenQuanYi Zen Hei"/>
        <family val="2"/>
      </rPr>
      <t xml:space="preserve">외형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단계</t>
    </r>
  </si>
  <si>
    <t xml:space="preserve">+6</t>
  </si>
  <si>
    <t xml:space="preserve">+7</t>
  </si>
  <si>
    <t xml:space="preserve">+8</t>
  </si>
  <si>
    <t xml:space="preserve">+9</t>
  </si>
  <si>
    <t xml:space="preserve">+10</t>
  </si>
  <si>
    <r>
      <rPr>
        <sz val="11"/>
        <rFont val="WenQuanYi Zen Hei"/>
        <family val="2"/>
      </rPr>
      <t xml:space="preserve">외형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단계</t>
    </r>
  </si>
  <si>
    <t xml:space="preserve">+11</t>
  </si>
  <si>
    <t xml:space="preserve">+12</t>
  </si>
  <si>
    <t xml:space="preserve">+13</t>
  </si>
  <si>
    <t xml:space="preserve">+14</t>
  </si>
  <si>
    <t xml:space="preserve">+15</t>
  </si>
  <si>
    <r>
      <rPr>
        <sz val="11"/>
        <rFont val="WenQuanYi Zen Hei"/>
        <family val="2"/>
      </rPr>
      <t xml:space="preserve">외형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단계</t>
    </r>
  </si>
  <si>
    <t xml:space="preserve">등급별 강화 한도</t>
  </si>
  <si>
    <t xml:space="preserve">분해 시 강화석</t>
  </si>
  <si>
    <r>
      <rPr>
        <i val="true"/>
        <sz val="9"/>
        <color rgb="FF666666"/>
        <rFont val="WenQuanYi Zen Hei"/>
        <family val="2"/>
      </rPr>
      <t xml:space="preserve">분해 강화석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등급 값 </t>
    </r>
    <r>
      <rPr>
        <i val="true"/>
        <sz val="9"/>
        <color rgb="FF666666"/>
        <rFont val="Arial"/>
        <family val="0"/>
        <charset val="1"/>
      </rPr>
      <t xml:space="preserve">+ </t>
    </r>
    <r>
      <rPr>
        <i val="true"/>
        <sz val="9"/>
        <color rgb="FF666666"/>
        <rFont val="WenQuanYi Zen Hei"/>
        <family val="2"/>
      </rPr>
      <t xml:space="preserve">강화 단계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전투 보상 강화석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WenQuanYi Zen Hei"/>
        <family val="2"/>
      </rPr>
      <t xml:space="preserve">일반 </t>
    </r>
    <r>
      <rPr>
        <i val="true"/>
        <sz val="9"/>
        <color rgb="FF666666"/>
        <rFont val="Arial"/>
        <family val="0"/>
        <charset val="1"/>
      </rPr>
      <t xml:space="preserve">2 · </t>
    </r>
    <r>
      <rPr>
        <i val="true"/>
        <sz val="9"/>
        <color rgb="FF666666"/>
        <rFont val="WenQuanYi Zen Hei"/>
        <family val="2"/>
      </rPr>
      <t xml:space="preserve">정예 </t>
    </r>
    <r>
      <rPr>
        <i val="true"/>
        <sz val="9"/>
        <color rgb="FF666666"/>
        <rFont val="Arial"/>
        <family val="0"/>
        <charset val="1"/>
      </rPr>
      <t xml:space="preserve">4 · </t>
    </r>
    <r>
      <rPr>
        <i val="true"/>
        <sz val="9"/>
        <color rgb="FF666666"/>
        <rFont val="WenQuanYi Zen Hei"/>
        <family val="2"/>
      </rPr>
      <t xml:space="preserve">보스 </t>
    </r>
    <r>
      <rPr>
        <i val="true"/>
        <sz val="9"/>
        <color rgb="FF666666"/>
        <rFont val="Arial"/>
        <family val="0"/>
        <charset val="1"/>
      </rPr>
      <t xml:space="preserve">8.</t>
    </r>
  </si>
  <si>
    <t xml:space="preserve">밸런스 분석</t>
  </si>
  <si>
    <r>
      <rPr>
        <i val="true"/>
        <sz val="9"/>
        <color rgb="FF666666"/>
        <rFont val="WenQuanYi Zen Hei"/>
        <family val="2"/>
      </rPr>
      <t xml:space="preserve">전투력</t>
    </r>
    <r>
      <rPr>
        <i val="true"/>
        <sz val="9"/>
        <color rgb="FF666666"/>
        <rFont val="Arial"/>
        <family val="0"/>
        <charset val="1"/>
      </rPr>
      <t xml:space="preserve">(%) = </t>
    </r>
    <r>
      <rPr>
        <i val="true"/>
        <sz val="9"/>
        <color rgb="FF666666"/>
        <rFont val="WenQuanYi Zen Hei"/>
        <family val="2"/>
      </rPr>
      <t xml:space="preserve">장비 풀세트</t>
    </r>
    <r>
      <rPr>
        <i val="true"/>
        <sz val="9"/>
        <color rgb="FF666666"/>
        <rFont val="Arial"/>
        <family val="0"/>
        <charset val="1"/>
      </rPr>
      <t xml:space="preserve">(6</t>
    </r>
    <r>
      <rPr>
        <i val="true"/>
        <sz val="9"/>
        <color rgb="FF666666"/>
        <rFont val="WenQuanYi Zen Hei"/>
        <family val="2"/>
      </rPr>
      <t xml:space="preserve">부위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가 올려주는 전투력 근사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승률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헤드리스 전투 시뮬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</si>
  <si>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① 등급별 풀세트 전투력</t>
    </r>
    <r>
      <rPr>
        <b val="true"/>
        <sz val="11"/>
        <rFont val="Arial"/>
        <family val="0"/>
        <charset val="1"/>
      </rPr>
      <t xml:space="preserve">(%) — </t>
    </r>
    <r>
      <rPr>
        <b val="true"/>
        <sz val="11"/>
        <rFont val="WenQuanYi Zen Hei"/>
        <family val="2"/>
      </rPr>
      <t xml:space="preserve">직업별 </t>
    </r>
    <r>
      <rPr>
        <b val="true"/>
        <sz val="11"/>
        <rFont val="Arial"/>
        <family val="0"/>
        <charset val="1"/>
      </rPr>
      <t xml:space="preserve">· </t>
    </r>
    <r>
      <rPr>
        <b val="true"/>
        <sz val="11"/>
        <rFont val="WenQuanYi Zen Hei"/>
        <family val="2"/>
      </rPr>
      <t xml:space="preserve">기대값</t>
    </r>
  </si>
  <si>
    <t xml:space="preserve">E/UR</t>
  </si>
  <si>
    <t xml:space="preserve">평균</t>
  </si>
  <si>
    <t xml:space="preserve">직업 편차</t>
  </si>
  <si>
    <r>
      <rPr>
        <i val="true"/>
        <sz val="9"/>
        <color rgb="FF666666"/>
        <rFont val="WenQuanYi Zen Hei"/>
        <family val="2"/>
      </rPr>
      <t xml:space="preserve">직업 간 편차가 작을수록 공정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목표 </t>
    </r>
    <r>
      <rPr>
        <i val="true"/>
        <sz val="9"/>
        <color rgb="FF666666"/>
        <rFont val="Arial"/>
        <family val="0"/>
        <charset val="1"/>
      </rPr>
      <t xml:space="preserve">±5% </t>
    </r>
    <r>
      <rPr>
        <i val="true"/>
        <sz val="9"/>
        <color rgb="FF666666"/>
        <rFont val="WenQuanYi Zen Hei"/>
        <family val="2"/>
      </rPr>
      <t xml:space="preserve">이내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</si>
  <si>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② 전투력 구성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탱커 기준</t>
    </r>
    <r>
      <rPr>
        <b val="true"/>
        <sz val="11"/>
        <rFont val="Arial"/>
        <family val="0"/>
        <charset val="1"/>
      </rPr>
      <t xml:space="preserve">, %)</t>
    </r>
  </si>
  <si>
    <t xml:space="preserve">구성</t>
  </si>
  <si>
    <t xml:space="preserve">주 스탯</t>
  </si>
  <si>
    <t xml:space="preserve">추가 옵션</t>
  </si>
  <si>
    <r>
      <rPr>
        <b val="true"/>
        <sz val="11"/>
        <rFont val="WenQuanYi Zen Hei"/>
        <family val="2"/>
      </rPr>
      <t xml:space="preserve">③ 최대 누적 </t>
    </r>
    <r>
      <rPr>
        <b val="true"/>
        <sz val="11"/>
        <rFont val="Arial"/>
        <family val="0"/>
        <charset val="1"/>
      </rPr>
      <t xml:space="preserve">vs </t>
    </r>
    <r>
      <rPr>
        <b val="true"/>
        <sz val="11"/>
        <rFont val="WenQuanYi Zen Hei"/>
        <family val="2"/>
      </rPr>
      <t xml:space="preserve">상한 </t>
    </r>
    <r>
      <rPr>
        <b val="true"/>
        <sz val="11"/>
        <rFont val="Arial"/>
        <family val="0"/>
        <charset val="1"/>
      </rPr>
      <t xml:space="preserve">(E </t>
    </r>
    <r>
      <rPr>
        <b val="true"/>
        <sz val="11"/>
        <rFont val="WenQuanYi Zen Hei"/>
        <family val="2"/>
      </rPr>
      <t xml:space="preserve">풀세트 최악의 경우</t>
    </r>
    <r>
      <rPr>
        <b val="true"/>
        <sz val="11"/>
        <rFont val="Arial"/>
        <family val="0"/>
        <charset val="1"/>
      </rPr>
      <t xml:space="preserve">)</t>
    </r>
  </si>
  <si>
    <t xml:space="preserve">최대 누적</t>
  </si>
  <si>
    <t xml:space="preserve">상한 초과</t>
  </si>
  <si>
    <t xml:space="preserve">출처</t>
  </si>
  <si>
    <r>
      <rPr>
        <sz val="11"/>
        <rFont val="WenQuanYi Zen Hei"/>
        <family val="2"/>
      </rPr>
      <t xml:space="preserve">옵션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부위당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줄</t>
    </r>
    <r>
      <rPr>
        <sz val="11"/>
        <rFont val="Arial"/>
        <family val="0"/>
        <charset val="1"/>
      </rPr>
      <t xml:space="preserve">) + E </t>
    </r>
    <r>
      <rPr>
        <sz val="11"/>
        <rFont val="WenQuanYi Zen Hei"/>
        <family val="2"/>
      </rPr>
      <t xml:space="preserve">보석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개</t>
    </r>
    <r>
      <rPr>
        <sz val="11"/>
        <rFont val="Arial"/>
        <family val="0"/>
        <charset val="1"/>
      </rPr>
      <t xml:space="preserve">×6</t>
    </r>
    <r>
      <rPr>
        <sz val="11"/>
        <rFont val="WenQuanYi Zen Hei"/>
        <family val="2"/>
      </rPr>
      <t xml:space="preserve">부위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주 스탯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특성 스탯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무기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갑옷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메달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</si>
  <si>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옵션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부위당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줄</t>
    </r>
    <r>
      <rPr>
        <sz val="11"/>
        <rFont val="Arial"/>
        <family val="0"/>
        <charset val="1"/>
      </rPr>
      <t xml:space="preserve">) + E </t>
    </r>
    <r>
      <rPr>
        <sz val="11"/>
        <rFont val="WenQuanYi Zen Hei"/>
        <family val="2"/>
      </rPr>
      <t xml:space="preserve">보석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개</t>
    </r>
    <r>
      <rPr>
        <sz val="11"/>
        <rFont val="Arial"/>
        <family val="0"/>
        <charset val="1"/>
      </rPr>
      <t xml:space="preserve">×6</t>
    </r>
    <r>
      <rPr>
        <sz val="11"/>
        <rFont val="WenQuanYi Zen Hei"/>
        <family val="2"/>
      </rPr>
      <t xml:space="preserve">부위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주 스탯</t>
    </r>
  </si>
  <si>
    <r>
      <rPr>
        <sz val="11"/>
        <rFont val="WenQuanYi Zen Hei"/>
        <family val="2"/>
      </rPr>
      <t xml:space="preserve">옵션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부위당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줄</t>
    </r>
    <r>
      <rPr>
        <sz val="11"/>
        <rFont val="Arial"/>
        <family val="0"/>
        <charset val="1"/>
      </rPr>
      <t xml:space="preserve">) + </t>
    </r>
    <r>
      <rPr>
        <sz val="11"/>
        <rFont val="WenQuanYi Zen Hei"/>
        <family val="2"/>
      </rPr>
      <t xml:space="preserve">주 스탯</t>
    </r>
  </si>
  <si>
    <t xml:space="preserve">상한 없음</t>
  </si>
  <si>
    <r>
      <rPr>
        <sz val="11"/>
        <rFont val="WenQuanYi Zen Hei"/>
        <family val="2"/>
      </rPr>
      <t xml:space="preserve">옵션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부위당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줄</t>
    </r>
    <r>
      <rPr>
        <sz val="11"/>
        <rFont val="Arial"/>
        <family val="0"/>
        <charset val="1"/>
      </rPr>
      <t xml:space="preserve">) + </t>
    </r>
    <r>
      <rPr>
        <sz val="11"/>
        <rFont val="WenQuanYi Zen Hei"/>
        <family val="2"/>
      </rPr>
      <t xml:space="preserve">주 스탯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특성 스탯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무기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갑옷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메달</t>
    </r>
    <r>
      <rPr>
        <sz val="11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</si>
  <si>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초과분은 게임에서 상한으로 잘림 </t>
    </r>
    <r>
      <rPr>
        <i val="true"/>
        <sz val="9"/>
        <color rgb="FF666666"/>
        <rFont val="Arial"/>
        <family val="0"/>
        <charset val="1"/>
      </rPr>
      <t xml:space="preserve">(CONST.STAT_CAPS). </t>
    </r>
    <r>
      <rPr>
        <i val="true"/>
        <sz val="9"/>
        <color rgb="FF666666"/>
        <rFont val="WenQuanYi Zen Hei"/>
        <family val="2"/>
      </rPr>
      <t xml:space="preserve">일부러 한 스탯을 몰아도 상한까지만 → 빌드 다양성 유도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</si>
  <si>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④ 시뮬 승률 — 기믹 공략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기절로 차지 끊기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그로기에 필살기 집중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위험 범위 회피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</si>
  <si>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color rgb="FF666666"/>
        <rFont val="WenQuanYi Zen Hei"/>
        <family val="2"/>
      </rPr>
      <t xml:space="preserve">행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난이도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WenQuanYi Zen Hei"/>
        <family val="2"/>
      </rPr>
      <t xml:space="preserve">열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장비 등급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값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WenQuanYi Zen Hei"/>
        <family val="2"/>
      </rPr>
      <t xml:space="preserve">일반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정예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WenQuanYi Zen Hei"/>
        <family val="2"/>
      </rPr>
      <t xml:space="preserve">보스 평균 승률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대각선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WenQuanYi Zen Hei"/>
        <family val="2"/>
      </rPr>
      <t xml:space="preserve">권장 등급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WenQuanYi Zen Hei"/>
        <family val="2"/>
      </rPr>
      <t xml:space="preserve">이 기믹 기준 </t>
    </r>
    <r>
      <rPr>
        <i val="true"/>
        <sz val="9"/>
        <color rgb="FF666666"/>
        <rFont val="Arial"/>
        <family val="0"/>
        <charset val="1"/>
      </rPr>
      <t xml:space="preserve">85% </t>
    </r>
    <r>
      <rPr>
        <i val="true"/>
        <sz val="9"/>
        <color rgb="FF666666"/>
        <rFont val="WenQuanYi Zen Hei"/>
        <family val="2"/>
      </rPr>
      <t xml:space="preserve">근처가 목표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</si>
  <si>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T1 </t>
    </r>
    <r>
      <rPr>
        <sz val="11"/>
        <rFont val="WenQuanYi Zen Hei"/>
        <family val="2"/>
      </rPr>
      <t xml:space="preserve">견습 </t>
    </r>
    <r>
      <rPr>
        <sz val="11"/>
        <rFont val="Arial"/>
        <family val="0"/>
        <charset val="1"/>
      </rPr>
      <t xml:space="preserve">(UC)</t>
    </r>
  </si>
  <si>
    <r>
      <rPr>
        <sz val="11"/>
        <rFont val="Arial"/>
        <family val="0"/>
        <charset val="1"/>
      </rPr>
      <t xml:space="preserve">T2 </t>
    </r>
    <r>
      <rPr>
        <sz val="11"/>
        <rFont val="WenQuanYi Zen Hei"/>
        <family val="2"/>
      </rPr>
      <t xml:space="preserve">숙련 </t>
    </r>
    <r>
      <rPr>
        <sz val="11"/>
        <rFont val="Arial"/>
        <family val="0"/>
        <charset val="1"/>
      </rPr>
      <t xml:space="preserve">(C)</t>
    </r>
  </si>
  <si>
    <r>
      <rPr>
        <sz val="11"/>
        <rFont val="Arial"/>
        <family val="0"/>
        <charset val="1"/>
      </rPr>
      <t xml:space="preserve">T3 </t>
    </r>
    <r>
      <rPr>
        <sz val="11"/>
        <rFont val="WenQuanYi Zen Hei"/>
        <family val="2"/>
      </rPr>
      <t xml:space="preserve">정예 </t>
    </r>
    <r>
      <rPr>
        <sz val="11"/>
        <rFont val="Arial"/>
        <family val="0"/>
        <charset val="1"/>
      </rPr>
      <t xml:space="preserve">(R)</t>
    </r>
  </si>
  <si>
    <r>
      <rPr>
        <sz val="11"/>
        <rFont val="Arial"/>
        <family val="0"/>
        <charset val="1"/>
      </rPr>
      <t xml:space="preserve">T4 </t>
    </r>
    <r>
      <rPr>
        <sz val="11"/>
        <rFont val="WenQuanYi Zen Hei"/>
        <family val="2"/>
      </rPr>
      <t xml:space="preserve">영웅 </t>
    </r>
    <r>
      <rPr>
        <sz val="11"/>
        <rFont val="Arial"/>
        <family val="0"/>
        <charset val="1"/>
      </rPr>
      <t xml:space="preserve">(SR)</t>
    </r>
  </si>
  <si>
    <r>
      <rPr>
        <sz val="11"/>
        <rFont val="Arial"/>
        <family val="0"/>
        <charset val="1"/>
      </rPr>
      <t xml:space="preserve">T5 </t>
    </r>
    <r>
      <rPr>
        <sz val="11"/>
        <rFont val="WenQuanYi Zen Hei"/>
        <family val="2"/>
      </rPr>
      <t xml:space="preserve">전설 </t>
    </r>
    <r>
      <rPr>
        <sz val="11"/>
        <rFont val="Arial"/>
        <family val="0"/>
        <charset val="1"/>
      </rPr>
      <t xml:space="preserve">(SSR)</t>
    </r>
  </si>
  <si>
    <r>
      <rPr>
        <sz val="11"/>
        <rFont val="Arial"/>
        <family val="0"/>
        <charset val="1"/>
      </rPr>
      <t xml:space="preserve">T6 </t>
    </r>
    <r>
      <rPr>
        <sz val="11"/>
        <rFont val="WenQuanYi Zen Hei"/>
        <family val="2"/>
      </rPr>
      <t xml:space="preserve">신화 </t>
    </r>
    <r>
      <rPr>
        <sz val="11"/>
        <rFont val="Arial"/>
        <family val="0"/>
        <charset val="1"/>
      </rPr>
      <t xml:space="preserve">(UR)</t>
    </r>
  </si>
  <si>
    <r>
      <rPr>
        <sz val="11"/>
        <rFont val="Arial"/>
        <family val="0"/>
        <charset val="1"/>
      </rPr>
      <t xml:space="preserve">T7 </t>
    </r>
    <r>
      <rPr>
        <sz val="11"/>
        <rFont val="WenQuanYi Zen Hei"/>
        <family val="2"/>
      </rPr>
      <t xml:space="preserve">고대 </t>
    </r>
    <r>
      <rPr>
        <sz val="11"/>
        <rFont val="Arial"/>
        <family val="0"/>
        <charset val="1"/>
      </rPr>
      <t xml:space="preserve">(L)</t>
    </r>
  </si>
  <si>
    <r>
      <rPr>
        <sz val="11"/>
        <rFont val="Arial"/>
        <family val="0"/>
        <charset val="1"/>
      </rPr>
      <t xml:space="preserve">T8 </t>
    </r>
    <r>
      <rPr>
        <sz val="11"/>
        <rFont val="WenQuanYi Zen Hei"/>
        <family val="2"/>
      </rPr>
      <t xml:space="preserve">태초 </t>
    </r>
    <r>
      <rPr>
        <sz val="11"/>
        <rFont val="Arial"/>
        <family val="0"/>
        <charset val="1"/>
      </rPr>
      <t xml:space="preserve">(E)</t>
    </r>
  </si>
  <si>
    <r>
      <rPr>
        <b val="true"/>
        <sz val="11"/>
        <rFont val="WenQuanYi Zen Hei"/>
        <family val="2"/>
      </rPr>
      <t xml:space="preserve">⑤ 시뮬 승률 — 딜만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쿨마다 스킬 난사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가까운 적만 공격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</si>
  <si>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⑥ 딜찍누 지수 — 같은 등급에서 기믹 </t>
    </r>
    <r>
      <rPr>
        <b val="true"/>
        <sz val="11"/>
        <rFont val="Arial"/>
        <family val="0"/>
        <charset val="1"/>
      </rPr>
      <t xml:space="preserve">vs </t>
    </r>
    <r>
      <rPr>
        <b val="true"/>
        <sz val="11"/>
        <rFont val="WenQuanYi Zen Hei"/>
        <family val="2"/>
      </rPr>
      <t xml:space="preserve">딜만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딜만으로 </t>
    </r>
    <r>
      <rPr>
        <b val="true"/>
        <sz val="11"/>
        <rFont val="Arial"/>
        <family val="0"/>
        <charset val="1"/>
      </rPr>
      <t xml:space="preserve">85%</t>
    </r>
    <r>
      <rPr>
        <b val="true"/>
        <sz val="11"/>
        <rFont val="WenQuanYi Zen Hei"/>
        <family val="2"/>
      </rPr>
      <t xml:space="preserve">를 넘으려면 필요한 등급 차이</t>
    </r>
  </si>
  <si>
    <t xml:space="preserve">권장 등급</t>
  </si>
  <si>
    <t xml:space="preserve">기믹 승률</t>
  </si>
  <si>
    <t xml:space="preserve">딜만 승률</t>
  </si>
  <si>
    <t xml:space="preserve">차이</t>
  </si>
  <si>
    <r>
      <rPr>
        <b val="true"/>
        <sz val="11"/>
        <color rgb="FFFFFFFF"/>
        <rFont val="WenQuanYi Zen Hei"/>
        <family val="2"/>
      </rPr>
      <t xml:space="preserve">딜만 </t>
    </r>
    <r>
      <rPr>
        <b val="true"/>
        <sz val="11"/>
        <color rgb="FFFFFFFF"/>
        <rFont val="Arial"/>
        <family val="0"/>
        <charset val="1"/>
      </rPr>
      <t xml:space="preserve">85%</t>
    </r>
    <r>
      <rPr>
        <b val="true"/>
        <sz val="11"/>
        <color rgb="FFFFFFFF"/>
        <rFont val="WenQuanYi Zen Hei"/>
        <family val="2"/>
      </rPr>
      <t xml:space="preserve">에 필요한 추가 등급</t>
    </r>
  </si>
  <si>
    <r>
      <rPr>
        <sz val="11"/>
        <rFont val="Arial"/>
        <family val="0"/>
        <charset val="1"/>
      </rPr>
      <t xml:space="preserve">+4</t>
    </r>
    <r>
      <rPr>
        <sz val="11"/>
        <rFont val="WenQuanYi Zen Hei"/>
        <family val="2"/>
      </rPr>
      <t xml:space="preserve">등급</t>
    </r>
  </si>
  <si>
    <r>
      <rPr>
        <sz val="11"/>
        <rFont val="Arial"/>
        <family val="0"/>
        <charset val="1"/>
      </rPr>
      <t xml:space="preserve">+3</t>
    </r>
    <r>
      <rPr>
        <sz val="11"/>
        <rFont val="WenQuanYi Zen Hei"/>
        <family val="2"/>
      </rPr>
      <t xml:space="preserve">등급</t>
    </r>
  </si>
  <si>
    <r>
      <rPr>
        <sz val="11"/>
        <rFont val="Arial"/>
        <family val="0"/>
        <charset val="1"/>
      </rPr>
      <t xml:space="preserve">+2</t>
    </r>
    <r>
      <rPr>
        <sz val="11"/>
        <rFont val="WenQuanYi Zen Hei"/>
        <family val="2"/>
      </rPr>
      <t xml:space="preserve">등급</t>
    </r>
  </si>
  <si>
    <r>
      <rPr>
        <sz val="11"/>
        <rFont val="Arial"/>
        <family val="0"/>
        <charset val="1"/>
      </rPr>
      <t xml:space="preserve">+1</t>
    </r>
    <r>
      <rPr>
        <sz val="11"/>
        <rFont val="WenQuanYi Zen Hei"/>
        <family val="2"/>
      </rPr>
      <t xml:space="preserve">등급</t>
    </r>
  </si>
  <si>
    <t xml:space="preserve">장비 범위 안에서 불가</t>
  </si>
  <si>
    <r>
      <rPr>
        <i val="true"/>
        <sz val="9"/>
        <color rgb="FF666666"/>
        <rFont val="WenQuanYi Zen Hei"/>
        <family val="2"/>
      </rPr>
      <t xml:space="preserve">시뮬 결과 값은 </t>
    </r>
    <r>
      <rPr>
        <i val="true"/>
        <sz val="9"/>
        <color rgb="FF666666"/>
        <rFont val="Arial"/>
        <family val="0"/>
        <charset val="1"/>
      </rPr>
      <t xml:space="preserve">tools/equip_balance.cjs (SEEDS=4, </t>
    </r>
    <r>
      <rPr>
        <i val="true"/>
        <sz val="9"/>
        <color rgb="FF666666"/>
        <rFont val="WenQuanYi Zen Hei"/>
        <family val="2"/>
      </rPr>
      <t xml:space="preserve">조합 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WenQuanYi Zen Hei"/>
        <family val="2"/>
      </rPr>
      <t xml:space="preserve">개</t>
    </r>
    <r>
      <rPr>
        <i val="true"/>
        <sz val="9"/>
        <color rgb="FF666666"/>
        <rFont val="Arial"/>
        <family val="0"/>
        <charset val="1"/>
      </rPr>
      <t xml:space="preserve">) </t>
    </r>
    <r>
      <rPr>
        <i val="true"/>
        <sz val="9"/>
        <color rgb="FF666666"/>
        <rFont val="WenQuanYi Zen Hei"/>
        <family val="2"/>
      </rPr>
      <t xml:space="preserve">실행 결과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WenQuanYi Zen Hei"/>
        <family val="2"/>
      </rPr>
      <t xml:space="preserve">재생성</t>
    </r>
    <r>
      <rPr>
        <i val="true"/>
        <sz val="9"/>
        <color rgb="FF666666"/>
        <rFont val="Arial"/>
        <family val="0"/>
        <charset val="1"/>
      </rPr>
      <t xml:space="preserve">: node tools/equip_balance.cjs → python3 tools/build_equipment_xlsx.py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</si>
</sst>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%"/>
    <numFmt numFmtId="167" formatCode="0%"/>
    <numFmt numFmtId="168" formatCode="0.0"/>
    <numFmt numFmtId="169" formatCode="0.00%"/>
    <numFmt numFmtId="170" formatCode="General"/>
    <numFmt numFmtId="171" formatCode="0.000"/>
    <numFmt numFmtId="172" formatCode="\+0%;\-0%;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i val="true"/>
      <sz val="9"/>
      <color rgb="FF666666"/>
      <name val="WenQuanYi Zen Hei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WenQuanYi Zen Hei"/>
      <family val="2"/>
    </font>
    <font>
      <sz val="11"/>
      <color rgb="FF008000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3A3550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A35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5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94.75" hidden="false" customHeight="false" outlineLevel="0" collapsed="false">
      <c r="A3" s="3" t="s">
        <v>1</v>
      </c>
      <c r="B3" s="2"/>
    </row>
    <row r="4" customFormat="false" ht="15" hidden="false" customHeight="false" outlineLevel="0" collapsed="false">
      <c r="A4" s="2"/>
      <c r="B4" s="4" t="s">
        <v>2</v>
      </c>
    </row>
    <row r="5" customFormat="false" ht="15" hidden="false" customHeight="false" outlineLevel="0" collapsed="false">
      <c r="A5" s="2"/>
      <c r="B5" s="4" t="s">
        <v>3</v>
      </c>
    </row>
    <row r="6" customFormat="false" ht="15" hidden="false" customHeight="false" outlineLevel="0" collapsed="false">
      <c r="A6" s="2"/>
      <c r="B6" s="4" t="s">
        <v>4</v>
      </c>
    </row>
    <row r="7" customFormat="false" ht="15" hidden="false" customHeight="false" outlineLevel="0" collapsed="false">
      <c r="A7" s="2"/>
      <c r="B7" s="5" t="s">
        <v>5</v>
      </c>
    </row>
    <row r="8" customFormat="false" ht="15" hidden="false" customHeight="false" outlineLevel="0" collapsed="false">
      <c r="A8" s="2"/>
      <c r="B8" s="5" t="s">
        <v>6</v>
      </c>
    </row>
    <row r="9" customFormat="false" ht="15" hidden="false" customHeight="false" outlineLevel="0" collapsed="false">
      <c r="A9" s="2"/>
      <c r="B9" s="4" t="s">
        <v>7</v>
      </c>
    </row>
    <row r="10" customFormat="false" ht="133.55" hidden="false" customHeight="false" outlineLevel="0" collapsed="false">
      <c r="A10" s="3" t="s">
        <v>8</v>
      </c>
      <c r="B10" s="2"/>
    </row>
    <row r="11" customFormat="false" ht="28.35" hidden="false" customHeight="false" outlineLevel="0" collapsed="false">
      <c r="A11" s="2"/>
      <c r="B11" s="4" t="s">
        <v>9</v>
      </c>
    </row>
    <row r="12" customFormat="false" ht="28.35" hidden="false" customHeight="false" outlineLevel="0" collapsed="false">
      <c r="A12" s="2"/>
      <c r="B12" s="4" t="s">
        <v>10</v>
      </c>
    </row>
    <row r="13" customFormat="false" ht="28.35" hidden="false" customHeight="false" outlineLevel="0" collapsed="false">
      <c r="A13" s="2"/>
      <c r="B13" s="4" t="s">
        <v>11</v>
      </c>
    </row>
    <row r="14" customFormat="false" ht="15" hidden="false" customHeight="false" outlineLevel="0" collapsed="false">
      <c r="A14" s="2"/>
      <c r="B14" s="4" t="s">
        <v>12</v>
      </c>
    </row>
    <row r="15" customFormat="false" ht="55.2" hidden="false" customHeight="false" outlineLevel="0" collapsed="false">
      <c r="A15" s="3" t="s">
        <v>13</v>
      </c>
      <c r="B15" s="2"/>
    </row>
    <row r="16" customFormat="false" ht="28.35" hidden="false" customHeight="false" outlineLevel="0" collapsed="false">
      <c r="A16" s="2"/>
      <c r="B16" s="4" t="s">
        <v>14</v>
      </c>
    </row>
    <row r="17" customFormat="false" ht="15" hidden="false" customHeight="false" outlineLevel="0" collapsed="false">
      <c r="A17" s="2"/>
      <c r="B17" s="4" t="s">
        <v>15</v>
      </c>
    </row>
    <row r="18" customFormat="false" ht="28.35" hidden="false" customHeight="false" outlineLevel="0" collapsed="false">
      <c r="A18" s="2"/>
      <c r="B18" s="4" t="s">
        <v>16</v>
      </c>
    </row>
    <row r="19" customFormat="false" ht="41.75" hidden="false" customHeight="false" outlineLevel="0" collapsed="false">
      <c r="A19" s="3" t="s">
        <v>17</v>
      </c>
      <c r="B19" s="2"/>
    </row>
    <row r="20" customFormat="false" ht="15" hidden="false" customHeight="false" outlineLevel="0" collapsed="false">
      <c r="A20" s="2"/>
      <c r="B20" s="4" t="s">
        <v>18</v>
      </c>
    </row>
    <row r="21" customFormat="false" ht="122.35" hidden="false" customHeight="false" outlineLevel="0" collapsed="false">
      <c r="A21" s="3" t="s">
        <v>19</v>
      </c>
      <c r="B21" s="2"/>
    </row>
    <row r="22" customFormat="false" ht="15" hidden="false" customHeight="false" outlineLevel="0" collapsed="false">
      <c r="A22" s="2"/>
      <c r="B22" s="5" t="s">
        <v>20</v>
      </c>
    </row>
    <row r="23" customFormat="false" ht="15" hidden="false" customHeight="false" outlineLevel="0" collapsed="false">
      <c r="A23" s="2"/>
      <c r="B23" s="5" t="s">
        <v>21</v>
      </c>
    </row>
    <row r="24" customFormat="false" ht="15" hidden="false" customHeight="false" outlineLevel="0" collapsed="false">
      <c r="A24" s="2"/>
      <c r="B24" s="5" t="s">
        <v>22</v>
      </c>
    </row>
    <row r="25" customFormat="false" ht="28.35" hidden="false" customHeight="false" outlineLevel="0" collapsed="false">
      <c r="A25" s="2"/>
      <c r="B25" s="5" t="s">
        <v>23</v>
      </c>
    </row>
    <row r="26" customFormat="false" ht="28.35" hidden="false" customHeight="false" outlineLevel="0" collapsed="false">
      <c r="A26" s="2"/>
      <c r="B26" s="5" t="s">
        <v>24</v>
      </c>
    </row>
    <row r="27" customFormat="false" ht="28.35" hidden="false" customHeight="false" outlineLevel="0" collapsed="false">
      <c r="A27" s="2"/>
      <c r="B27" s="5" t="s">
        <v>25</v>
      </c>
    </row>
    <row r="28" customFormat="false" ht="28.35" hidden="false" customHeight="false" outlineLevel="0" collapsed="false">
      <c r="A28" s="2"/>
      <c r="B28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10" min="7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1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6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28.35" hidden="false" customHeight="false" outlineLevel="0" collapsed="false">
      <c r="A4" s="7" t="s">
        <v>27</v>
      </c>
      <c r="B4" s="7" t="s">
        <v>29</v>
      </c>
      <c r="C4" s="7" t="s">
        <v>30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35</v>
      </c>
      <c r="I4" s="7" t="s">
        <v>36</v>
      </c>
      <c r="J4" s="7" t="s">
        <v>37</v>
      </c>
      <c r="K4" s="7" t="s">
        <v>38</v>
      </c>
      <c r="L4" s="7" t="s">
        <v>39</v>
      </c>
      <c r="M4" s="7" t="s">
        <v>40</v>
      </c>
      <c r="N4" s="7" t="s">
        <v>41</v>
      </c>
      <c r="O4" s="7" t="s">
        <v>42</v>
      </c>
    </row>
    <row r="5" customFormat="false" ht="15" hidden="false" customHeight="false" outlineLevel="0" collapsed="false">
      <c r="A5" s="8" t="s">
        <v>43</v>
      </c>
      <c r="B5" s="8" t="s">
        <v>43</v>
      </c>
      <c r="C5" s="9" t="n">
        <v>1</v>
      </c>
      <c r="D5" s="10" t="n">
        <v>0</v>
      </c>
      <c r="E5" s="9" t="n">
        <v>0</v>
      </c>
      <c r="F5" s="9" t="n">
        <v>1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1</v>
      </c>
      <c r="N5" s="9" t="n">
        <v>1</v>
      </c>
      <c r="O5" s="11" t="str">
        <f aca="false">IF(ROW()=5,"-",C5/C4-1)</f>
        <v>-</v>
      </c>
    </row>
    <row r="6" customFormat="false" ht="15" hidden="false" customHeight="false" outlineLevel="0" collapsed="false">
      <c r="A6" s="8" t="s">
        <v>44</v>
      </c>
      <c r="B6" s="8" t="s">
        <v>44</v>
      </c>
      <c r="C6" s="9" t="n">
        <v>1.45</v>
      </c>
      <c r="D6" s="10" t="n">
        <v>0</v>
      </c>
      <c r="E6" s="9" t="n">
        <v>0</v>
      </c>
      <c r="F6" s="9" t="n">
        <v>1.35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1</v>
      </c>
      <c r="N6" s="9" t="n">
        <v>1.25</v>
      </c>
      <c r="O6" s="11" t="n">
        <f aca="false">IF(ROW()=5,"-",C6/C5-1)</f>
        <v>0.45</v>
      </c>
    </row>
    <row r="7" customFormat="false" ht="15" hidden="false" customHeight="false" outlineLevel="0" collapsed="false">
      <c r="A7" s="8" t="s">
        <v>45</v>
      </c>
      <c r="B7" s="8" t="s">
        <v>45</v>
      </c>
      <c r="C7" s="9" t="n">
        <v>1.7</v>
      </c>
      <c r="D7" s="10" t="n">
        <v>1</v>
      </c>
      <c r="E7" s="9" t="n">
        <v>1</v>
      </c>
      <c r="F7" s="9" t="n">
        <v>1.5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1</v>
      </c>
      <c r="N7" s="9" t="n">
        <v>1.5</v>
      </c>
      <c r="O7" s="11" t="n">
        <f aca="false">IF(ROW()=5,"-",C7/C6-1)</f>
        <v>0.172413793103448</v>
      </c>
    </row>
    <row r="8" customFormat="false" ht="15" hidden="false" customHeight="false" outlineLevel="0" collapsed="false">
      <c r="A8" s="8" t="s">
        <v>46</v>
      </c>
      <c r="B8" s="8" t="s">
        <v>46</v>
      </c>
      <c r="C8" s="9" t="n">
        <v>2.1</v>
      </c>
      <c r="D8" s="10" t="n">
        <v>2</v>
      </c>
      <c r="E8" s="9" t="n">
        <v>1.15</v>
      </c>
      <c r="F8" s="9" t="n">
        <v>1.75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2</v>
      </c>
      <c r="N8" s="9" t="n">
        <v>1.8</v>
      </c>
      <c r="O8" s="11" t="n">
        <f aca="false">IF(ROW()=5,"-",C8/C7-1)</f>
        <v>0.235294117647059</v>
      </c>
    </row>
    <row r="9" customFormat="false" ht="15" hidden="false" customHeight="false" outlineLevel="0" collapsed="false">
      <c r="A9" s="8" t="s">
        <v>47</v>
      </c>
      <c r="B9" s="8" t="s">
        <v>47</v>
      </c>
      <c r="C9" s="9" t="n">
        <v>2.55</v>
      </c>
      <c r="D9" s="10" t="n">
        <v>3</v>
      </c>
      <c r="E9" s="9" t="n">
        <v>1.3</v>
      </c>
      <c r="F9" s="9" t="n">
        <v>2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2</v>
      </c>
      <c r="N9" s="9" t="n">
        <v>2.1</v>
      </c>
      <c r="O9" s="11" t="n">
        <f aca="false">IF(ROW()=5,"-",C9/C8-1)</f>
        <v>0.214285714285714</v>
      </c>
    </row>
    <row r="10" customFormat="false" ht="15" hidden="false" customHeight="false" outlineLevel="0" collapsed="false">
      <c r="A10" s="8" t="s">
        <v>48</v>
      </c>
      <c r="B10" s="8" t="s">
        <v>48</v>
      </c>
      <c r="C10" s="9" t="n">
        <v>3.05</v>
      </c>
      <c r="D10" s="10" t="n">
        <v>4</v>
      </c>
      <c r="E10" s="9" t="n">
        <v>1.5</v>
      </c>
      <c r="F10" s="9" t="n">
        <v>2.3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2</v>
      </c>
      <c r="N10" s="9" t="n">
        <v>2.4</v>
      </c>
      <c r="O10" s="11" t="n">
        <f aca="false">IF(ROW()=5,"-",C10/C9-1)</f>
        <v>0.196078431372549</v>
      </c>
    </row>
    <row r="11" customFormat="false" ht="15" hidden="false" customHeight="false" outlineLevel="0" collapsed="false">
      <c r="A11" s="8" t="s">
        <v>49</v>
      </c>
      <c r="B11" s="8" t="s">
        <v>50</v>
      </c>
      <c r="C11" s="9" t="n">
        <v>3.2</v>
      </c>
      <c r="D11" s="10" t="n">
        <v>4</v>
      </c>
      <c r="E11" s="9" t="n">
        <v>1.55</v>
      </c>
      <c r="F11" s="9" t="n">
        <v>2.65</v>
      </c>
      <c r="G11" s="10" t="n">
        <v>1</v>
      </c>
      <c r="H11" s="10" t="n">
        <v>1</v>
      </c>
      <c r="I11" s="10" t="n">
        <v>0</v>
      </c>
      <c r="J11" s="10" t="n">
        <v>1</v>
      </c>
      <c r="K11" s="10" t="n">
        <v>0</v>
      </c>
      <c r="L11" s="10" t="n">
        <v>1</v>
      </c>
      <c r="M11" s="10" t="n">
        <v>3</v>
      </c>
      <c r="N11" s="9" t="n">
        <v>2.65</v>
      </c>
      <c r="O11" s="11" t="n">
        <f aca="false">IF(ROW()=5,"-",C11/C10-1)</f>
        <v>0.0491803278688525</v>
      </c>
    </row>
    <row r="12" customFormat="false" ht="15" hidden="false" customHeight="false" outlineLevel="0" collapsed="false">
      <c r="A12" s="8" t="s">
        <v>51</v>
      </c>
      <c r="B12" s="8" t="s">
        <v>52</v>
      </c>
      <c r="C12" s="9" t="n">
        <v>3.3</v>
      </c>
      <c r="D12" s="10" t="n">
        <v>4</v>
      </c>
      <c r="E12" s="9" t="n">
        <v>1.58</v>
      </c>
      <c r="F12" s="9" t="n">
        <v>3</v>
      </c>
      <c r="G12" s="10" t="n">
        <v>1</v>
      </c>
      <c r="H12" s="10" t="n">
        <v>3</v>
      </c>
      <c r="I12" s="10" t="n">
        <v>1</v>
      </c>
      <c r="J12" s="10" t="n">
        <v>1</v>
      </c>
      <c r="K12" s="10" t="n">
        <v>0</v>
      </c>
      <c r="L12" s="10" t="n">
        <v>2</v>
      </c>
      <c r="M12" s="10" t="n">
        <v>3</v>
      </c>
      <c r="N12" s="9" t="n">
        <v>2.9</v>
      </c>
      <c r="O12" s="11" t="n">
        <f aca="false">IF(ROW()=5,"-",C12/C11-1)</f>
        <v>0.0312499999999998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15" hidden="false" customHeight="false" outlineLevel="0" collapsed="false">
      <c r="A14" s="8" t="s">
        <v>53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12" t="s">
        <v>54</v>
      </c>
      <c r="B15" s="10" t="n">
        <v>30</v>
      </c>
      <c r="C15" s="11" t="n">
        <f aca="false">B15/SUM($B$15:$B$17)</f>
        <v>0.3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5" hidden="false" customHeight="false" outlineLevel="0" collapsed="false">
      <c r="A16" s="12" t="s">
        <v>55</v>
      </c>
      <c r="B16" s="10" t="n">
        <v>35</v>
      </c>
      <c r="C16" s="11" t="n">
        <f aca="false">B16/SUM($B$15:$B$17)</f>
        <v>0.35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15" hidden="false" customHeight="false" outlineLevel="0" collapsed="false">
      <c r="A17" s="12" t="s">
        <v>56</v>
      </c>
      <c r="B17" s="10" t="n">
        <v>35</v>
      </c>
      <c r="C17" s="11" t="n">
        <f aca="false">B17/SUM($B$15:$B$17)</f>
        <v>0.35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15" hidden="false" customHeight="false" outlineLevel="0" collapsed="false">
      <c r="A19" s="8" t="s">
        <v>57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15" hidden="false" customHeight="false" outlineLevel="0" collapsed="false">
      <c r="A20" s="13" t="s">
        <v>58</v>
      </c>
      <c r="B20" s="10" t="n">
        <v>55</v>
      </c>
      <c r="C20" s="11" t="n">
        <f aca="false">B20/SUM($B$20:$B$22)</f>
        <v>0.55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15" hidden="false" customHeight="false" outlineLevel="0" collapsed="false">
      <c r="A21" s="13" t="s">
        <v>59</v>
      </c>
      <c r="B21" s="10" t="n">
        <v>33</v>
      </c>
      <c r="C21" s="11" t="n">
        <f aca="false">B21/SUM($B$20:$B$22)</f>
        <v>0.33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15" hidden="false" customHeight="false" outlineLevel="0" collapsed="false">
      <c r="A22" s="13" t="s">
        <v>60</v>
      </c>
      <c r="B22" s="10" t="n">
        <v>12</v>
      </c>
      <c r="C22" s="11" t="n">
        <f aca="false">B22/SUM($B$20:$B$22)</f>
        <v>0.12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5" hidden="false" customHeight="false" outlineLevel="0" collapsed="false">
      <c r="A24" s="8" t="s">
        <v>61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13" t="s">
        <v>62</v>
      </c>
      <c r="B25" s="10" t="n">
        <v>40</v>
      </c>
      <c r="C25" s="11" t="n">
        <f aca="false">B25/SUM($B$25:$B$27)</f>
        <v>0.4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13" t="s">
        <v>63</v>
      </c>
      <c r="B26" s="10" t="n">
        <v>45</v>
      </c>
      <c r="C26" s="11" t="n">
        <f aca="false">B26/SUM($B$25:$B$27)</f>
        <v>0.45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13" t="s">
        <v>64</v>
      </c>
      <c r="B27" s="10" t="n">
        <v>15</v>
      </c>
      <c r="C27" s="11" t="n">
        <f aca="false">B27/SUM($B$25:$B$27)</f>
        <v>0.15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6" t="s">
        <v>65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66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6" t="s">
        <v>67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7" t="s">
        <v>68</v>
      </c>
      <c r="B4" s="7" t="s">
        <v>29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</row>
    <row r="5" customFormat="false" ht="15" hidden="false" customHeight="false" outlineLevel="0" collapsed="false">
      <c r="A5" s="13" t="s">
        <v>74</v>
      </c>
      <c r="B5" s="12" t="s">
        <v>75</v>
      </c>
      <c r="C5" s="12" t="s">
        <v>76</v>
      </c>
      <c r="D5" s="12" t="s">
        <v>77</v>
      </c>
      <c r="E5" s="13" t="s">
        <v>78</v>
      </c>
      <c r="F5" s="12"/>
      <c r="G5" s="12" t="s">
        <v>79</v>
      </c>
    </row>
    <row r="6" customFormat="false" ht="15" hidden="false" customHeight="false" outlineLevel="0" collapsed="false">
      <c r="A6" s="13" t="s">
        <v>80</v>
      </c>
      <c r="B6" s="12" t="s">
        <v>81</v>
      </c>
      <c r="C6" s="12" t="s">
        <v>76</v>
      </c>
      <c r="D6" s="12" t="s">
        <v>77</v>
      </c>
      <c r="E6" s="13" t="s">
        <v>78</v>
      </c>
      <c r="F6" s="12"/>
      <c r="G6" s="12" t="s">
        <v>82</v>
      </c>
    </row>
    <row r="7" customFormat="false" ht="15" hidden="false" customHeight="false" outlineLevel="0" collapsed="false">
      <c r="A7" s="13" t="s">
        <v>83</v>
      </c>
      <c r="B7" s="12" t="s">
        <v>84</v>
      </c>
      <c r="C7" s="13" t="s">
        <v>85</v>
      </c>
      <c r="D7" s="9" t="n">
        <v>0.5</v>
      </c>
      <c r="E7" s="13" t="s">
        <v>78</v>
      </c>
      <c r="F7" s="12"/>
      <c r="G7" s="12"/>
    </row>
    <row r="8" customFormat="false" ht="15" hidden="false" customHeight="false" outlineLevel="0" collapsed="false">
      <c r="A8" s="13" t="s">
        <v>86</v>
      </c>
      <c r="B8" s="12" t="s">
        <v>87</v>
      </c>
      <c r="C8" s="13" t="s">
        <v>85</v>
      </c>
      <c r="D8" s="9" t="n">
        <v>0.5</v>
      </c>
      <c r="E8" s="13" t="s">
        <v>78</v>
      </c>
      <c r="F8" s="12"/>
      <c r="G8" s="12"/>
    </row>
    <row r="9" customFormat="false" ht="15" hidden="false" customHeight="false" outlineLevel="0" collapsed="false">
      <c r="A9" s="13" t="s">
        <v>88</v>
      </c>
      <c r="B9" s="12" t="s">
        <v>89</v>
      </c>
      <c r="C9" s="13" t="s">
        <v>85</v>
      </c>
      <c r="D9" s="9" t="n">
        <v>0.6</v>
      </c>
      <c r="E9" s="14" t="n">
        <v>0.5</v>
      </c>
      <c r="F9" s="12"/>
      <c r="G9" s="12"/>
    </row>
    <row r="10" customFormat="false" ht="15" hidden="false" customHeight="false" outlineLevel="0" collapsed="false">
      <c r="A10" s="13" t="s">
        <v>90</v>
      </c>
      <c r="B10" s="12" t="s">
        <v>91</v>
      </c>
      <c r="C10" s="13" t="s">
        <v>85</v>
      </c>
      <c r="D10" s="9" t="n">
        <v>0.3</v>
      </c>
      <c r="E10" s="14" t="n">
        <v>0.5</v>
      </c>
      <c r="F10" s="12"/>
      <c r="G10" s="12"/>
    </row>
    <row r="11" customFormat="false" ht="15" hidden="false" customHeight="false" outlineLevel="0" collapsed="false">
      <c r="A11" s="13" t="s">
        <v>92</v>
      </c>
      <c r="B11" s="12" t="s">
        <v>93</v>
      </c>
      <c r="C11" s="13" t="s">
        <v>85</v>
      </c>
      <c r="D11" s="9" t="n">
        <v>0.3</v>
      </c>
      <c r="E11" s="14" t="n">
        <v>0.6</v>
      </c>
      <c r="F11" s="12"/>
      <c r="G11" s="12"/>
    </row>
    <row r="12" customFormat="false" ht="15" hidden="false" customHeight="false" outlineLevel="0" collapsed="false">
      <c r="A12" s="13" t="s">
        <v>94</v>
      </c>
      <c r="B12" s="12" t="s">
        <v>95</v>
      </c>
      <c r="C12" s="13" t="s">
        <v>85</v>
      </c>
      <c r="D12" s="9" t="n">
        <v>0.1</v>
      </c>
      <c r="E12" s="13" t="s">
        <v>78</v>
      </c>
      <c r="F12" s="12"/>
      <c r="G12" s="12"/>
    </row>
    <row r="13" customFormat="false" ht="15" hidden="false" customHeight="false" outlineLevel="0" collapsed="false">
      <c r="A13" s="13" t="s">
        <v>96</v>
      </c>
      <c r="B13" s="12" t="s">
        <v>97</v>
      </c>
      <c r="C13" s="13" t="s">
        <v>85</v>
      </c>
      <c r="D13" s="9" t="n">
        <v>0.2</v>
      </c>
      <c r="E13" s="13" t="s">
        <v>78</v>
      </c>
      <c r="F13" s="12"/>
      <c r="G13" s="12"/>
    </row>
    <row r="14" customFormat="false" ht="15" hidden="false" customHeight="false" outlineLevel="0" collapsed="false">
      <c r="A14" s="13" t="s">
        <v>98</v>
      </c>
      <c r="B14" s="12" t="s">
        <v>99</v>
      </c>
      <c r="C14" s="13" t="s">
        <v>85</v>
      </c>
      <c r="D14" s="9" t="n">
        <v>0.35</v>
      </c>
      <c r="E14" s="14" t="n">
        <v>0.4</v>
      </c>
      <c r="F14" s="12"/>
      <c r="G14" s="12"/>
    </row>
    <row r="15" customFormat="false" ht="15" hidden="false" customHeight="false" outlineLevel="0" collapsed="false">
      <c r="A15" s="13" t="s">
        <v>100</v>
      </c>
      <c r="B15" s="12" t="s">
        <v>101</v>
      </c>
      <c r="C15" s="13" t="s">
        <v>85</v>
      </c>
      <c r="D15" s="9" t="n">
        <v>0.2</v>
      </c>
      <c r="E15" s="13" t="s">
        <v>78</v>
      </c>
      <c r="F15" s="12"/>
      <c r="G15" s="12"/>
    </row>
    <row r="16" customFormat="false" ht="15" hidden="false" customHeight="false" outlineLevel="0" collapsed="false">
      <c r="A16" s="13" t="s">
        <v>102</v>
      </c>
      <c r="B16" s="12" t="s">
        <v>103</v>
      </c>
      <c r="C16" s="13" t="s">
        <v>85</v>
      </c>
      <c r="D16" s="9" t="n">
        <v>0.12</v>
      </c>
      <c r="E16" s="14" t="n">
        <v>0.8</v>
      </c>
      <c r="F16" s="12"/>
      <c r="G16" s="12"/>
    </row>
    <row r="17" customFormat="false" ht="15" hidden="false" customHeight="false" outlineLevel="0" collapsed="false">
      <c r="A17" s="13" t="s">
        <v>104</v>
      </c>
      <c r="B17" s="12" t="s">
        <v>105</v>
      </c>
      <c r="C17" s="13" t="s">
        <v>85</v>
      </c>
      <c r="D17" s="9" t="n">
        <v>0.08</v>
      </c>
      <c r="E17" s="14" t="n">
        <v>0.5</v>
      </c>
      <c r="F17" s="12"/>
      <c r="G17" s="12"/>
    </row>
    <row r="18" customFormat="false" ht="15" hidden="false" customHeight="false" outlineLevel="0" collapsed="false">
      <c r="A18" s="13" t="s">
        <v>106</v>
      </c>
      <c r="B18" s="12" t="s">
        <v>107</v>
      </c>
      <c r="C18" s="13" t="s">
        <v>85</v>
      </c>
      <c r="D18" s="9" t="n">
        <v>0.06</v>
      </c>
      <c r="E18" s="13" t="s">
        <v>78</v>
      </c>
      <c r="F18" s="12"/>
      <c r="G18" s="12"/>
    </row>
    <row r="19" customFormat="false" ht="15" hidden="false" customHeight="false" outlineLevel="0" collapsed="false">
      <c r="A19" s="13" t="s">
        <v>108</v>
      </c>
      <c r="B19" s="12" t="s">
        <v>109</v>
      </c>
      <c r="C19" s="13" t="s">
        <v>85</v>
      </c>
      <c r="D19" s="9" t="n">
        <v>0.1</v>
      </c>
      <c r="E19" s="13" t="s">
        <v>78</v>
      </c>
      <c r="F19" s="13" t="s">
        <v>110</v>
      </c>
      <c r="G19" s="12"/>
    </row>
    <row r="20" customFormat="false" ht="15" hidden="false" customHeight="false" outlineLevel="0" collapsed="false">
      <c r="A20" s="13" t="s">
        <v>111</v>
      </c>
      <c r="B20" s="12" t="s">
        <v>112</v>
      </c>
      <c r="C20" s="13" t="s">
        <v>85</v>
      </c>
      <c r="D20" s="9" t="n">
        <v>0.1</v>
      </c>
      <c r="E20" s="13" t="s">
        <v>78</v>
      </c>
      <c r="F20" s="13" t="s">
        <v>110</v>
      </c>
      <c r="G20" s="12" t="s">
        <v>113</v>
      </c>
    </row>
    <row r="21" customFormat="false" ht="15" hidden="false" customHeight="false" outlineLevel="0" collapsed="false">
      <c r="A21" s="13" t="s">
        <v>114</v>
      </c>
      <c r="B21" s="12" t="s">
        <v>115</v>
      </c>
      <c r="C21" s="13" t="s">
        <v>85</v>
      </c>
      <c r="D21" s="9" t="n">
        <v>0.12</v>
      </c>
      <c r="E21" s="13" t="s">
        <v>78</v>
      </c>
      <c r="F21" s="12"/>
      <c r="G21" s="12" t="s">
        <v>116</v>
      </c>
    </row>
    <row r="22" customFormat="false" ht="15" hidden="false" customHeight="false" outlineLevel="0" collapsed="false">
      <c r="A22" s="13" t="s">
        <v>117</v>
      </c>
      <c r="B22" s="12" t="s">
        <v>118</v>
      </c>
      <c r="C22" s="13" t="s">
        <v>85</v>
      </c>
      <c r="D22" s="9" t="n">
        <v>0.12</v>
      </c>
      <c r="E22" s="13" t="s">
        <v>78</v>
      </c>
      <c r="F22" s="12"/>
      <c r="G22" s="12" t="s">
        <v>119</v>
      </c>
    </row>
    <row r="23" customFormat="false" ht="15" hidden="false" customHeight="false" outlineLevel="0" collapsed="false">
      <c r="A23" s="13" t="s">
        <v>120</v>
      </c>
      <c r="B23" s="12" t="s">
        <v>121</v>
      </c>
      <c r="C23" s="13" t="s">
        <v>85</v>
      </c>
      <c r="D23" s="9" t="n">
        <v>0.1</v>
      </c>
      <c r="E23" s="13" t="s">
        <v>78</v>
      </c>
      <c r="F23" s="13" t="s">
        <v>110</v>
      </c>
      <c r="G23" s="12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40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6"/>
  </cols>
  <sheetData>
    <row r="1" customFormat="false" ht="19.4" hidden="false" customHeight="false" outlineLevel="0" collapsed="false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124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8.35" hidden="false" customHeight="false" outlineLevel="0" collapsed="false">
      <c r="A4" s="15" t="s">
        <v>125</v>
      </c>
      <c r="B4" s="7" t="s">
        <v>29</v>
      </c>
      <c r="C4" s="7" t="s">
        <v>126</v>
      </c>
      <c r="D4" s="7" t="s">
        <v>127</v>
      </c>
      <c r="E4" s="7" t="s">
        <v>128</v>
      </c>
      <c r="F4" s="7" t="s">
        <v>129</v>
      </c>
      <c r="G4" s="7" t="s">
        <v>130</v>
      </c>
      <c r="H4" s="7" t="s">
        <v>131</v>
      </c>
      <c r="I4" s="7" t="s">
        <v>132</v>
      </c>
      <c r="J4" s="7" t="s">
        <v>133</v>
      </c>
      <c r="K4" s="7" t="s">
        <v>134</v>
      </c>
      <c r="L4" s="7" t="s">
        <v>69</v>
      </c>
      <c r="M4" s="7" t="s">
        <v>135</v>
      </c>
    </row>
    <row r="5" customFormat="false" ht="15" hidden="false" customHeight="false" outlineLevel="0" collapsed="false">
      <c r="A5" s="13" t="s">
        <v>136</v>
      </c>
      <c r="B5" s="16" t="s">
        <v>137</v>
      </c>
      <c r="C5" s="12" t="s">
        <v>138</v>
      </c>
      <c r="D5" s="12" t="s">
        <v>139</v>
      </c>
      <c r="E5" s="10" t="n">
        <v>1</v>
      </c>
      <c r="F5" s="12" t="s">
        <v>75</v>
      </c>
      <c r="G5" s="17" t="n">
        <v>2.2</v>
      </c>
      <c r="H5" s="12" t="s">
        <v>89</v>
      </c>
      <c r="I5" s="18" t="n">
        <v>0.006</v>
      </c>
      <c r="J5" s="12" t="s">
        <v>140</v>
      </c>
      <c r="K5" s="17" t="n">
        <v>15</v>
      </c>
      <c r="L5" s="13" t="s">
        <v>85</v>
      </c>
      <c r="M5" s="13" t="s">
        <v>141</v>
      </c>
    </row>
    <row r="6" customFormat="false" ht="15" hidden="false" customHeight="false" outlineLevel="0" collapsed="false">
      <c r="A6" s="13" t="s">
        <v>142</v>
      </c>
      <c r="B6" s="16" t="s">
        <v>143</v>
      </c>
      <c r="C6" s="12" t="s">
        <v>138</v>
      </c>
      <c r="D6" s="12" t="s">
        <v>139</v>
      </c>
      <c r="E6" s="10" t="n">
        <v>2</v>
      </c>
      <c r="F6" s="12" t="s">
        <v>75</v>
      </c>
      <c r="G6" s="17" t="n">
        <v>2.2</v>
      </c>
      <c r="H6" s="12" t="s">
        <v>89</v>
      </c>
      <c r="I6" s="18" t="n">
        <v>0.006</v>
      </c>
      <c r="J6" s="12" t="s">
        <v>144</v>
      </c>
      <c r="K6" s="17" t="n">
        <v>3</v>
      </c>
      <c r="L6" s="13" t="s">
        <v>145</v>
      </c>
      <c r="M6" s="13" t="s">
        <v>146</v>
      </c>
    </row>
    <row r="7" customFormat="false" ht="15" hidden="false" customHeight="false" outlineLevel="0" collapsed="false">
      <c r="A7" s="13" t="s">
        <v>147</v>
      </c>
      <c r="B7" s="16" t="s">
        <v>148</v>
      </c>
      <c r="C7" s="12" t="s">
        <v>138</v>
      </c>
      <c r="D7" s="12" t="s">
        <v>139</v>
      </c>
      <c r="E7" s="10" t="n">
        <v>3</v>
      </c>
      <c r="F7" s="12" t="s">
        <v>75</v>
      </c>
      <c r="G7" s="17" t="n">
        <v>2.2</v>
      </c>
      <c r="H7" s="12" t="s">
        <v>89</v>
      </c>
      <c r="I7" s="18" t="n">
        <v>0.006</v>
      </c>
      <c r="J7" s="12" t="s">
        <v>149</v>
      </c>
      <c r="K7" s="17" t="n">
        <v>3</v>
      </c>
      <c r="L7" s="13" t="s">
        <v>85</v>
      </c>
      <c r="M7" s="13" t="s">
        <v>150</v>
      </c>
    </row>
    <row r="8" customFormat="false" ht="15" hidden="false" customHeight="false" outlineLevel="0" collapsed="false">
      <c r="A8" s="13" t="s">
        <v>151</v>
      </c>
      <c r="B8" s="16" t="s">
        <v>152</v>
      </c>
      <c r="C8" s="12" t="s">
        <v>153</v>
      </c>
      <c r="D8" s="12" t="s">
        <v>139</v>
      </c>
      <c r="E8" s="10" t="n">
        <v>1</v>
      </c>
      <c r="F8" s="12" t="s">
        <v>81</v>
      </c>
      <c r="G8" s="17" t="n">
        <v>52</v>
      </c>
      <c r="H8" s="12" t="s">
        <v>89</v>
      </c>
      <c r="I8" s="18" t="n">
        <v>0.006</v>
      </c>
      <c r="J8" s="12" t="s">
        <v>154</v>
      </c>
      <c r="K8" s="17" t="n">
        <v>6</v>
      </c>
      <c r="L8" s="13" t="s">
        <v>85</v>
      </c>
      <c r="M8" s="13" t="s">
        <v>155</v>
      </c>
    </row>
    <row r="9" customFormat="false" ht="15" hidden="false" customHeight="false" outlineLevel="0" collapsed="false">
      <c r="A9" s="13" t="s">
        <v>156</v>
      </c>
      <c r="B9" s="16" t="s">
        <v>157</v>
      </c>
      <c r="C9" s="12" t="s">
        <v>153</v>
      </c>
      <c r="D9" s="12" t="s">
        <v>139</v>
      </c>
      <c r="E9" s="10" t="n">
        <v>2</v>
      </c>
      <c r="F9" s="12" t="s">
        <v>81</v>
      </c>
      <c r="G9" s="17" t="n">
        <v>52</v>
      </c>
      <c r="H9" s="12" t="s">
        <v>89</v>
      </c>
      <c r="I9" s="18" t="n">
        <v>0.006</v>
      </c>
      <c r="J9" s="12" t="s">
        <v>158</v>
      </c>
      <c r="K9" s="17" t="n">
        <v>0.3</v>
      </c>
      <c r="L9" s="12" t="s">
        <v>159</v>
      </c>
      <c r="M9" s="13" t="s">
        <v>160</v>
      </c>
    </row>
    <row r="10" customFormat="false" ht="15" hidden="false" customHeight="false" outlineLevel="0" collapsed="false">
      <c r="A10" s="13" t="s">
        <v>161</v>
      </c>
      <c r="B10" s="16" t="s">
        <v>162</v>
      </c>
      <c r="C10" s="12" t="s">
        <v>153</v>
      </c>
      <c r="D10" s="12" t="s">
        <v>139</v>
      </c>
      <c r="E10" s="10" t="n">
        <v>3</v>
      </c>
      <c r="F10" s="12" t="s">
        <v>81</v>
      </c>
      <c r="G10" s="17" t="n">
        <v>52</v>
      </c>
      <c r="H10" s="12" t="s">
        <v>89</v>
      </c>
      <c r="I10" s="18" t="n">
        <v>0.006</v>
      </c>
      <c r="J10" s="12" t="s">
        <v>163</v>
      </c>
      <c r="K10" s="17" t="n">
        <v>5</v>
      </c>
      <c r="L10" s="13" t="s">
        <v>85</v>
      </c>
      <c r="M10" s="13" t="s">
        <v>164</v>
      </c>
    </row>
    <row r="11" customFormat="false" ht="15" hidden="false" customHeight="false" outlineLevel="0" collapsed="false">
      <c r="A11" s="13" t="s">
        <v>165</v>
      </c>
      <c r="B11" s="16" t="s">
        <v>166</v>
      </c>
      <c r="C11" s="12" t="s">
        <v>167</v>
      </c>
      <c r="D11" s="12" t="s">
        <v>139</v>
      </c>
      <c r="E11" s="10" t="n">
        <v>1</v>
      </c>
      <c r="F11" s="12" t="s">
        <v>89</v>
      </c>
      <c r="G11" s="18" t="n">
        <v>0.012</v>
      </c>
      <c r="H11" s="12" t="s">
        <v>115</v>
      </c>
      <c r="I11" s="18" t="n">
        <v>0.1</v>
      </c>
      <c r="J11" s="13" t="s">
        <v>78</v>
      </c>
      <c r="K11" s="12"/>
      <c r="L11" s="12"/>
      <c r="M11" s="12"/>
    </row>
    <row r="12" customFormat="false" ht="15" hidden="false" customHeight="false" outlineLevel="0" collapsed="false">
      <c r="A12" s="13" t="s">
        <v>168</v>
      </c>
      <c r="B12" s="16" t="s">
        <v>169</v>
      </c>
      <c r="C12" s="12" t="s">
        <v>167</v>
      </c>
      <c r="D12" s="12" t="s">
        <v>139</v>
      </c>
      <c r="E12" s="10" t="n">
        <v>2</v>
      </c>
      <c r="F12" s="12" t="s">
        <v>89</v>
      </c>
      <c r="G12" s="18" t="n">
        <v>0.012</v>
      </c>
      <c r="H12" s="12" t="s">
        <v>118</v>
      </c>
      <c r="I12" s="18" t="n">
        <v>0.1</v>
      </c>
      <c r="J12" s="13" t="s">
        <v>78</v>
      </c>
      <c r="K12" s="12"/>
      <c r="L12" s="12"/>
      <c r="M12" s="12"/>
    </row>
    <row r="13" customFormat="false" ht="15" hidden="false" customHeight="false" outlineLevel="0" collapsed="false">
      <c r="A13" s="13" t="s">
        <v>170</v>
      </c>
      <c r="B13" s="16" t="s">
        <v>171</v>
      </c>
      <c r="C13" s="12" t="s">
        <v>138</v>
      </c>
      <c r="D13" s="12" t="s">
        <v>172</v>
      </c>
      <c r="E13" s="10" t="n">
        <v>1</v>
      </c>
      <c r="F13" s="12" t="s">
        <v>75</v>
      </c>
      <c r="G13" s="17" t="n">
        <v>4</v>
      </c>
      <c r="H13" s="12" t="s">
        <v>95</v>
      </c>
      <c r="I13" s="18" t="n">
        <v>0.03</v>
      </c>
      <c r="J13" s="12" t="s">
        <v>173</v>
      </c>
      <c r="K13" s="17" t="n">
        <v>10</v>
      </c>
      <c r="L13" s="13" t="s">
        <v>85</v>
      </c>
      <c r="M13" s="13" t="s">
        <v>174</v>
      </c>
    </row>
    <row r="14" customFormat="false" ht="15" hidden="false" customHeight="false" outlineLevel="0" collapsed="false">
      <c r="A14" s="13" t="s">
        <v>175</v>
      </c>
      <c r="B14" s="16" t="s">
        <v>176</v>
      </c>
      <c r="C14" s="12" t="s">
        <v>138</v>
      </c>
      <c r="D14" s="12" t="s">
        <v>172</v>
      </c>
      <c r="E14" s="10" t="n">
        <v>2</v>
      </c>
      <c r="F14" s="12" t="s">
        <v>75</v>
      </c>
      <c r="G14" s="17" t="n">
        <v>4</v>
      </c>
      <c r="H14" s="12" t="s">
        <v>95</v>
      </c>
      <c r="I14" s="18" t="n">
        <v>0.03</v>
      </c>
      <c r="J14" s="12" t="s">
        <v>177</v>
      </c>
      <c r="K14" s="17" t="n">
        <v>8</v>
      </c>
      <c r="L14" s="13" t="s">
        <v>85</v>
      </c>
      <c r="M14" s="13" t="s">
        <v>178</v>
      </c>
    </row>
    <row r="15" customFormat="false" ht="15" hidden="false" customHeight="false" outlineLevel="0" collapsed="false">
      <c r="A15" s="13" t="s">
        <v>179</v>
      </c>
      <c r="B15" s="16" t="s">
        <v>180</v>
      </c>
      <c r="C15" s="12" t="s">
        <v>138</v>
      </c>
      <c r="D15" s="12" t="s">
        <v>172</v>
      </c>
      <c r="E15" s="10" t="n">
        <v>3</v>
      </c>
      <c r="F15" s="12" t="s">
        <v>75</v>
      </c>
      <c r="G15" s="17" t="n">
        <v>4</v>
      </c>
      <c r="H15" s="12" t="s">
        <v>95</v>
      </c>
      <c r="I15" s="18" t="n">
        <v>0.03</v>
      </c>
      <c r="J15" s="12" t="s">
        <v>181</v>
      </c>
      <c r="K15" s="17" t="n">
        <v>5</v>
      </c>
      <c r="L15" s="13" t="s">
        <v>85</v>
      </c>
      <c r="M15" s="13" t="s">
        <v>182</v>
      </c>
    </row>
    <row r="16" customFormat="false" ht="15" hidden="false" customHeight="false" outlineLevel="0" collapsed="false">
      <c r="A16" s="13" t="s">
        <v>183</v>
      </c>
      <c r="B16" s="16" t="s">
        <v>184</v>
      </c>
      <c r="C16" s="12" t="s">
        <v>153</v>
      </c>
      <c r="D16" s="12" t="s">
        <v>172</v>
      </c>
      <c r="E16" s="10" t="n">
        <v>1</v>
      </c>
      <c r="F16" s="12" t="s">
        <v>81</v>
      </c>
      <c r="G16" s="17" t="n">
        <v>30</v>
      </c>
      <c r="H16" s="12" t="s">
        <v>91</v>
      </c>
      <c r="I16" s="18" t="n">
        <v>0.02</v>
      </c>
      <c r="J16" s="12" t="s">
        <v>185</v>
      </c>
      <c r="K16" s="17" t="n">
        <v>10</v>
      </c>
      <c r="L16" s="13" t="s">
        <v>85</v>
      </c>
      <c r="M16" s="13" t="s">
        <v>186</v>
      </c>
    </row>
    <row r="17" customFormat="false" ht="15" hidden="false" customHeight="false" outlineLevel="0" collapsed="false">
      <c r="A17" s="13" t="s">
        <v>187</v>
      </c>
      <c r="B17" s="16" t="s">
        <v>188</v>
      </c>
      <c r="C17" s="12" t="s">
        <v>153</v>
      </c>
      <c r="D17" s="12" t="s">
        <v>172</v>
      </c>
      <c r="E17" s="10" t="n">
        <v>2</v>
      </c>
      <c r="F17" s="12" t="s">
        <v>81</v>
      </c>
      <c r="G17" s="17" t="n">
        <v>30</v>
      </c>
      <c r="H17" s="12" t="s">
        <v>91</v>
      </c>
      <c r="I17" s="18" t="n">
        <v>0.02</v>
      </c>
      <c r="J17" s="12" t="s">
        <v>189</v>
      </c>
      <c r="K17" s="17" t="n">
        <v>4</v>
      </c>
      <c r="L17" s="13" t="s">
        <v>85</v>
      </c>
      <c r="M17" s="13" t="s">
        <v>190</v>
      </c>
    </row>
    <row r="18" customFormat="false" ht="15" hidden="false" customHeight="false" outlineLevel="0" collapsed="false">
      <c r="A18" s="13" t="s">
        <v>191</v>
      </c>
      <c r="B18" s="16" t="s">
        <v>192</v>
      </c>
      <c r="C18" s="12" t="s">
        <v>153</v>
      </c>
      <c r="D18" s="12" t="s">
        <v>172</v>
      </c>
      <c r="E18" s="10" t="n">
        <v>3</v>
      </c>
      <c r="F18" s="12" t="s">
        <v>81</v>
      </c>
      <c r="G18" s="17" t="n">
        <v>30</v>
      </c>
      <c r="H18" s="12" t="s">
        <v>91</v>
      </c>
      <c r="I18" s="18" t="n">
        <v>0.02</v>
      </c>
      <c r="J18" s="12" t="s">
        <v>193</v>
      </c>
      <c r="K18" s="17" t="n">
        <v>5</v>
      </c>
      <c r="L18" s="13" t="s">
        <v>85</v>
      </c>
      <c r="M18" s="13" t="s">
        <v>194</v>
      </c>
    </row>
    <row r="19" customFormat="false" ht="15" hidden="false" customHeight="false" outlineLevel="0" collapsed="false">
      <c r="A19" s="13" t="s">
        <v>195</v>
      </c>
      <c r="B19" s="16" t="s">
        <v>196</v>
      </c>
      <c r="C19" s="12" t="s">
        <v>167</v>
      </c>
      <c r="D19" s="12" t="s">
        <v>172</v>
      </c>
      <c r="E19" s="10" t="n">
        <v>1</v>
      </c>
      <c r="F19" s="12" t="s">
        <v>95</v>
      </c>
      <c r="G19" s="18" t="n">
        <v>0.06</v>
      </c>
      <c r="H19" s="12" t="s">
        <v>115</v>
      </c>
      <c r="I19" s="18" t="n">
        <v>0.1</v>
      </c>
      <c r="J19" s="13" t="s">
        <v>78</v>
      </c>
      <c r="K19" s="12"/>
      <c r="L19" s="12"/>
      <c r="M19" s="12"/>
    </row>
    <row r="20" customFormat="false" ht="15" hidden="false" customHeight="false" outlineLevel="0" collapsed="false">
      <c r="A20" s="13" t="s">
        <v>197</v>
      </c>
      <c r="B20" s="16" t="s">
        <v>198</v>
      </c>
      <c r="C20" s="12" t="s">
        <v>167</v>
      </c>
      <c r="D20" s="12" t="s">
        <v>172</v>
      </c>
      <c r="E20" s="10" t="n">
        <v>2</v>
      </c>
      <c r="F20" s="12" t="s">
        <v>95</v>
      </c>
      <c r="G20" s="18" t="n">
        <v>0.06</v>
      </c>
      <c r="H20" s="12" t="s">
        <v>118</v>
      </c>
      <c r="I20" s="18" t="n">
        <v>0.1</v>
      </c>
      <c r="J20" s="13" t="s">
        <v>78</v>
      </c>
      <c r="K20" s="12"/>
      <c r="L20" s="12"/>
      <c r="M20" s="12"/>
    </row>
    <row r="21" customFormat="false" ht="15" hidden="false" customHeight="false" outlineLevel="0" collapsed="false">
      <c r="A21" s="13" t="s">
        <v>199</v>
      </c>
      <c r="B21" s="16" t="s">
        <v>200</v>
      </c>
      <c r="C21" s="12" t="s">
        <v>138</v>
      </c>
      <c r="D21" s="12" t="s">
        <v>201</v>
      </c>
      <c r="E21" s="10" t="n">
        <v>1</v>
      </c>
      <c r="F21" s="12" t="s">
        <v>75</v>
      </c>
      <c r="G21" s="17" t="n">
        <v>3.6</v>
      </c>
      <c r="H21" s="12" t="s">
        <v>93</v>
      </c>
      <c r="I21" s="18" t="n">
        <v>0.008</v>
      </c>
      <c r="J21" s="12" t="s">
        <v>202</v>
      </c>
      <c r="K21" s="17" t="n">
        <v>0.5</v>
      </c>
      <c r="L21" s="12" t="s">
        <v>159</v>
      </c>
      <c r="M21" s="13" t="s">
        <v>203</v>
      </c>
    </row>
    <row r="22" customFormat="false" ht="15" hidden="false" customHeight="false" outlineLevel="0" collapsed="false">
      <c r="A22" s="13" t="s">
        <v>204</v>
      </c>
      <c r="B22" s="16" t="s">
        <v>205</v>
      </c>
      <c r="C22" s="12" t="s">
        <v>138</v>
      </c>
      <c r="D22" s="12" t="s">
        <v>201</v>
      </c>
      <c r="E22" s="10" t="n">
        <v>2</v>
      </c>
      <c r="F22" s="12" t="s">
        <v>75</v>
      </c>
      <c r="G22" s="17" t="n">
        <v>3.6</v>
      </c>
      <c r="H22" s="12" t="s">
        <v>93</v>
      </c>
      <c r="I22" s="18" t="n">
        <v>0.008</v>
      </c>
      <c r="J22" s="12" t="s">
        <v>206</v>
      </c>
      <c r="K22" s="17" t="n">
        <v>6</v>
      </c>
      <c r="L22" s="13" t="s">
        <v>85</v>
      </c>
      <c r="M22" s="13" t="s">
        <v>207</v>
      </c>
    </row>
    <row r="23" customFormat="false" ht="15" hidden="false" customHeight="false" outlineLevel="0" collapsed="false">
      <c r="A23" s="13" t="s">
        <v>208</v>
      </c>
      <c r="B23" s="16" t="s">
        <v>209</v>
      </c>
      <c r="C23" s="12" t="s">
        <v>138</v>
      </c>
      <c r="D23" s="12" t="s">
        <v>201</v>
      </c>
      <c r="E23" s="10" t="n">
        <v>3</v>
      </c>
      <c r="F23" s="12" t="s">
        <v>75</v>
      </c>
      <c r="G23" s="17" t="n">
        <v>3.6</v>
      </c>
      <c r="H23" s="12" t="s">
        <v>93</v>
      </c>
      <c r="I23" s="18" t="n">
        <v>0.008</v>
      </c>
      <c r="J23" s="12" t="s">
        <v>210</v>
      </c>
      <c r="K23" s="17" t="n">
        <v>8</v>
      </c>
      <c r="L23" s="13" t="s">
        <v>85</v>
      </c>
      <c r="M23" s="13" t="s">
        <v>211</v>
      </c>
    </row>
    <row r="24" customFormat="false" ht="15" hidden="false" customHeight="false" outlineLevel="0" collapsed="false">
      <c r="A24" s="13" t="s">
        <v>212</v>
      </c>
      <c r="B24" s="16" t="s">
        <v>213</v>
      </c>
      <c r="C24" s="12" t="s">
        <v>153</v>
      </c>
      <c r="D24" s="12" t="s">
        <v>201</v>
      </c>
      <c r="E24" s="10" t="n">
        <v>1</v>
      </c>
      <c r="F24" s="12" t="s">
        <v>81</v>
      </c>
      <c r="G24" s="17" t="n">
        <v>26</v>
      </c>
      <c r="H24" s="12" t="s">
        <v>105</v>
      </c>
      <c r="I24" s="18" t="n">
        <v>0.025</v>
      </c>
      <c r="J24" s="12" t="s">
        <v>214</v>
      </c>
      <c r="K24" s="17" t="n">
        <v>5</v>
      </c>
      <c r="L24" s="13" t="s">
        <v>85</v>
      </c>
      <c r="M24" s="13" t="s">
        <v>182</v>
      </c>
    </row>
    <row r="25" customFormat="false" ht="15" hidden="false" customHeight="false" outlineLevel="0" collapsed="false">
      <c r="A25" s="13" t="s">
        <v>215</v>
      </c>
      <c r="B25" s="16" t="s">
        <v>216</v>
      </c>
      <c r="C25" s="12" t="s">
        <v>153</v>
      </c>
      <c r="D25" s="12" t="s">
        <v>201</v>
      </c>
      <c r="E25" s="10" t="n">
        <v>2</v>
      </c>
      <c r="F25" s="12" t="s">
        <v>81</v>
      </c>
      <c r="G25" s="17" t="n">
        <v>26</v>
      </c>
      <c r="H25" s="12" t="s">
        <v>105</v>
      </c>
      <c r="I25" s="18" t="n">
        <v>0.025</v>
      </c>
      <c r="J25" s="12" t="s">
        <v>217</v>
      </c>
      <c r="K25" s="17" t="n">
        <v>6</v>
      </c>
      <c r="L25" s="13" t="s">
        <v>85</v>
      </c>
      <c r="M25" s="13" t="s">
        <v>218</v>
      </c>
    </row>
    <row r="26" customFormat="false" ht="15" hidden="false" customHeight="false" outlineLevel="0" collapsed="false">
      <c r="A26" s="13" t="s">
        <v>219</v>
      </c>
      <c r="B26" s="16" t="s">
        <v>220</v>
      </c>
      <c r="C26" s="12" t="s">
        <v>153</v>
      </c>
      <c r="D26" s="12" t="s">
        <v>201</v>
      </c>
      <c r="E26" s="10" t="n">
        <v>3</v>
      </c>
      <c r="F26" s="12" t="s">
        <v>81</v>
      </c>
      <c r="G26" s="17" t="n">
        <v>26</v>
      </c>
      <c r="H26" s="12" t="s">
        <v>105</v>
      </c>
      <c r="I26" s="18" t="n">
        <v>0.025</v>
      </c>
      <c r="J26" s="12" t="s">
        <v>221</v>
      </c>
      <c r="K26" s="17" t="n">
        <v>6</v>
      </c>
      <c r="L26" s="12"/>
      <c r="M26" s="13" t="s">
        <v>222</v>
      </c>
    </row>
    <row r="27" customFormat="false" ht="15" hidden="false" customHeight="false" outlineLevel="0" collapsed="false">
      <c r="A27" s="13" t="s">
        <v>223</v>
      </c>
      <c r="B27" s="16" t="s">
        <v>224</v>
      </c>
      <c r="C27" s="12" t="s">
        <v>167</v>
      </c>
      <c r="D27" s="12" t="s">
        <v>201</v>
      </c>
      <c r="E27" s="10" t="n">
        <v>1</v>
      </c>
      <c r="F27" s="12" t="s">
        <v>93</v>
      </c>
      <c r="G27" s="18" t="n">
        <v>0.016</v>
      </c>
      <c r="H27" s="12" t="s">
        <v>115</v>
      </c>
      <c r="I27" s="18" t="n">
        <v>0.1</v>
      </c>
      <c r="J27" s="13" t="s">
        <v>78</v>
      </c>
      <c r="K27" s="12"/>
      <c r="L27" s="12"/>
      <c r="M27" s="12"/>
    </row>
    <row r="28" customFormat="false" ht="15" hidden="false" customHeight="false" outlineLevel="0" collapsed="false">
      <c r="A28" s="13" t="s">
        <v>225</v>
      </c>
      <c r="B28" s="16" t="s">
        <v>226</v>
      </c>
      <c r="C28" s="12" t="s">
        <v>167</v>
      </c>
      <c r="D28" s="12" t="s">
        <v>201</v>
      </c>
      <c r="E28" s="10" t="n">
        <v>2</v>
      </c>
      <c r="F28" s="12" t="s">
        <v>93</v>
      </c>
      <c r="G28" s="18" t="n">
        <v>0.016</v>
      </c>
      <c r="H28" s="12" t="s">
        <v>118</v>
      </c>
      <c r="I28" s="18" t="n">
        <v>0.1</v>
      </c>
      <c r="J28" s="13" t="s">
        <v>78</v>
      </c>
      <c r="K28" s="12"/>
      <c r="L28" s="12"/>
      <c r="M28" s="12"/>
    </row>
    <row r="29" customFormat="false" ht="15" hidden="false" customHeight="false" outlineLevel="0" collapsed="false">
      <c r="A29" s="13" t="s">
        <v>227</v>
      </c>
      <c r="B29" s="16" t="s">
        <v>228</v>
      </c>
      <c r="C29" s="12" t="s">
        <v>138</v>
      </c>
      <c r="D29" s="12" t="s">
        <v>229</v>
      </c>
      <c r="E29" s="10" t="n">
        <v>1</v>
      </c>
      <c r="F29" s="12" t="s">
        <v>75</v>
      </c>
      <c r="G29" s="17" t="n">
        <v>4.4</v>
      </c>
      <c r="H29" s="12" t="s">
        <v>97</v>
      </c>
      <c r="I29" s="18" t="n">
        <v>0.02</v>
      </c>
      <c r="J29" s="12" t="s">
        <v>230</v>
      </c>
      <c r="K29" s="17" t="n">
        <v>10</v>
      </c>
      <c r="L29" s="13" t="s">
        <v>85</v>
      </c>
      <c r="M29" s="13" t="s">
        <v>231</v>
      </c>
    </row>
    <row r="30" customFormat="false" ht="15" hidden="false" customHeight="false" outlineLevel="0" collapsed="false">
      <c r="A30" s="13" t="s">
        <v>232</v>
      </c>
      <c r="B30" s="16" t="s">
        <v>233</v>
      </c>
      <c r="C30" s="12" t="s">
        <v>138</v>
      </c>
      <c r="D30" s="12" t="s">
        <v>229</v>
      </c>
      <c r="E30" s="10" t="n">
        <v>2</v>
      </c>
      <c r="F30" s="12" t="s">
        <v>75</v>
      </c>
      <c r="G30" s="17" t="n">
        <v>4.4</v>
      </c>
      <c r="H30" s="12" t="s">
        <v>97</v>
      </c>
      <c r="I30" s="18" t="n">
        <v>0.02</v>
      </c>
      <c r="J30" s="12" t="s">
        <v>234</v>
      </c>
      <c r="K30" s="17" t="n">
        <v>6</v>
      </c>
      <c r="L30" s="13" t="s">
        <v>85</v>
      </c>
      <c r="M30" s="13" t="s">
        <v>182</v>
      </c>
    </row>
    <row r="31" customFormat="false" ht="15" hidden="false" customHeight="false" outlineLevel="0" collapsed="false">
      <c r="A31" s="13" t="s">
        <v>235</v>
      </c>
      <c r="B31" s="16" t="s">
        <v>236</v>
      </c>
      <c r="C31" s="12" t="s">
        <v>138</v>
      </c>
      <c r="D31" s="12" t="s">
        <v>229</v>
      </c>
      <c r="E31" s="10" t="n">
        <v>3</v>
      </c>
      <c r="F31" s="12" t="s">
        <v>75</v>
      </c>
      <c r="G31" s="17" t="n">
        <v>4.4</v>
      </c>
      <c r="H31" s="12" t="s">
        <v>97</v>
      </c>
      <c r="I31" s="18" t="n">
        <v>0.02</v>
      </c>
      <c r="J31" s="12" t="s">
        <v>237</v>
      </c>
      <c r="K31" s="17" t="n">
        <v>12</v>
      </c>
      <c r="L31" s="13" t="s">
        <v>85</v>
      </c>
      <c r="M31" s="13" t="s">
        <v>238</v>
      </c>
    </row>
    <row r="32" customFormat="false" ht="15" hidden="false" customHeight="false" outlineLevel="0" collapsed="false">
      <c r="A32" s="13" t="s">
        <v>239</v>
      </c>
      <c r="B32" s="16" t="s">
        <v>240</v>
      </c>
      <c r="C32" s="12" t="s">
        <v>153</v>
      </c>
      <c r="D32" s="12" t="s">
        <v>229</v>
      </c>
      <c r="E32" s="10" t="n">
        <v>1</v>
      </c>
      <c r="F32" s="12" t="s">
        <v>81</v>
      </c>
      <c r="G32" s="17" t="n">
        <v>24</v>
      </c>
      <c r="H32" s="12" t="s">
        <v>99</v>
      </c>
      <c r="I32" s="18" t="n">
        <v>0.01</v>
      </c>
      <c r="J32" s="12" t="s">
        <v>241</v>
      </c>
      <c r="K32" s="17" t="n">
        <v>1.5</v>
      </c>
      <c r="L32" s="13" t="s">
        <v>85</v>
      </c>
      <c r="M32" s="13" t="s">
        <v>242</v>
      </c>
    </row>
    <row r="33" customFormat="false" ht="15" hidden="false" customHeight="false" outlineLevel="0" collapsed="false">
      <c r="A33" s="13" t="s">
        <v>243</v>
      </c>
      <c r="B33" s="16" t="s">
        <v>244</v>
      </c>
      <c r="C33" s="12" t="s">
        <v>153</v>
      </c>
      <c r="D33" s="12" t="s">
        <v>229</v>
      </c>
      <c r="E33" s="10" t="n">
        <v>2</v>
      </c>
      <c r="F33" s="12" t="s">
        <v>81</v>
      </c>
      <c r="G33" s="17" t="n">
        <v>24</v>
      </c>
      <c r="H33" s="12" t="s">
        <v>99</v>
      </c>
      <c r="I33" s="18" t="n">
        <v>0.01</v>
      </c>
      <c r="J33" s="12" t="s">
        <v>245</v>
      </c>
      <c r="K33" s="17" t="n">
        <v>0.4</v>
      </c>
      <c r="L33" s="12" t="s">
        <v>159</v>
      </c>
      <c r="M33" s="13" t="s">
        <v>246</v>
      </c>
    </row>
    <row r="34" customFormat="false" ht="15" hidden="false" customHeight="false" outlineLevel="0" collapsed="false">
      <c r="A34" s="13" t="s">
        <v>247</v>
      </c>
      <c r="B34" s="16" t="s">
        <v>248</v>
      </c>
      <c r="C34" s="12" t="s">
        <v>153</v>
      </c>
      <c r="D34" s="12" t="s">
        <v>229</v>
      </c>
      <c r="E34" s="10" t="n">
        <v>3</v>
      </c>
      <c r="F34" s="12" t="s">
        <v>81</v>
      </c>
      <c r="G34" s="17" t="n">
        <v>24</v>
      </c>
      <c r="H34" s="12" t="s">
        <v>99</v>
      </c>
      <c r="I34" s="18" t="n">
        <v>0.01</v>
      </c>
      <c r="J34" s="12" t="s">
        <v>249</v>
      </c>
      <c r="K34" s="17" t="n">
        <v>6</v>
      </c>
      <c r="L34" s="13" t="s">
        <v>85</v>
      </c>
      <c r="M34" s="13" t="s">
        <v>250</v>
      </c>
    </row>
    <row r="35" customFormat="false" ht="15" hidden="false" customHeight="false" outlineLevel="0" collapsed="false">
      <c r="A35" s="13" t="s">
        <v>251</v>
      </c>
      <c r="B35" s="16" t="s">
        <v>252</v>
      </c>
      <c r="C35" s="12" t="s">
        <v>167</v>
      </c>
      <c r="D35" s="12" t="s">
        <v>229</v>
      </c>
      <c r="E35" s="10" t="n">
        <v>1</v>
      </c>
      <c r="F35" s="12" t="s">
        <v>97</v>
      </c>
      <c r="G35" s="18" t="n">
        <v>0.04</v>
      </c>
      <c r="H35" s="12" t="s">
        <v>115</v>
      </c>
      <c r="I35" s="18" t="n">
        <v>0.1</v>
      </c>
      <c r="J35" s="13" t="s">
        <v>78</v>
      </c>
      <c r="K35" s="12"/>
      <c r="L35" s="12"/>
      <c r="M35" s="12"/>
    </row>
    <row r="36" customFormat="false" ht="15" hidden="false" customHeight="false" outlineLevel="0" collapsed="false">
      <c r="A36" s="13" t="s">
        <v>253</v>
      </c>
      <c r="B36" s="16" t="s">
        <v>254</v>
      </c>
      <c r="C36" s="12" t="s">
        <v>167</v>
      </c>
      <c r="D36" s="12" t="s">
        <v>229</v>
      </c>
      <c r="E36" s="10" t="n">
        <v>2</v>
      </c>
      <c r="F36" s="12" t="s">
        <v>97</v>
      </c>
      <c r="G36" s="18" t="n">
        <v>0.04</v>
      </c>
      <c r="H36" s="12" t="s">
        <v>118</v>
      </c>
      <c r="I36" s="18" t="n">
        <v>0.1</v>
      </c>
      <c r="J36" s="13" t="s">
        <v>78</v>
      </c>
      <c r="K36" s="12"/>
      <c r="L36" s="12"/>
      <c r="M36" s="12"/>
    </row>
    <row r="37" customFormat="false" ht="15" hidden="false" customHeight="false" outlineLevel="0" collapsed="false">
      <c r="A37" s="13" t="s">
        <v>255</v>
      </c>
      <c r="B37" s="16" t="s">
        <v>256</v>
      </c>
      <c r="C37" s="12" t="s">
        <v>138</v>
      </c>
      <c r="D37" s="12" t="s">
        <v>257</v>
      </c>
      <c r="E37" s="10" t="n">
        <v>1</v>
      </c>
      <c r="F37" s="12" t="s">
        <v>75</v>
      </c>
      <c r="G37" s="17" t="n">
        <v>1.6</v>
      </c>
      <c r="H37" s="12" t="s">
        <v>101</v>
      </c>
      <c r="I37" s="18" t="n">
        <v>0.025</v>
      </c>
      <c r="J37" s="12" t="s">
        <v>258</v>
      </c>
      <c r="K37" s="17" t="n">
        <v>8</v>
      </c>
      <c r="L37" s="13" t="s">
        <v>85</v>
      </c>
      <c r="M37" s="13" t="s">
        <v>259</v>
      </c>
    </row>
    <row r="38" customFormat="false" ht="15" hidden="false" customHeight="false" outlineLevel="0" collapsed="false">
      <c r="A38" s="13" t="s">
        <v>260</v>
      </c>
      <c r="B38" s="16" t="s">
        <v>261</v>
      </c>
      <c r="C38" s="12" t="s">
        <v>138</v>
      </c>
      <c r="D38" s="12" t="s">
        <v>257</v>
      </c>
      <c r="E38" s="10" t="n">
        <v>2</v>
      </c>
      <c r="F38" s="12" t="s">
        <v>75</v>
      </c>
      <c r="G38" s="17" t="n">
        <v>1.6</v>
      </c>
      <c r="H38" s="12" t="s">
        <v>101</v>
      </c>
      <c r="I38" s="18" t="n">
        <v>0.025</v>
      </c>
      <c r="J38" s="12" t="s">
        <v>262</v>
      </c>
      <c r="K38" s="17" t="n">
        <v>6</v>
      </c>
      <c r="L38" s="13" t="s">
        <v>85</v>
      </c>
      <c r="M38" s="13" t="s">
        <v>182</v>
      </c>
    </row>
    <row r="39" customFormat="false" ht="15" hidden="false" customHeight="false" outlineLevel="0" collapsed="false">
      <c r="A39" s="13" t="s">
        <v>263</v>
      </c>
      <c r="B39" s="16" t="s">
        <v>264</v>
      </c>
      <c r="C39" s="12" t="s">
        <v>138</v>
      </c>
      <c r="D39" s="12" t="s">
        <v>257</v>
      </c>
      <c r="E39" s="10" t="n">
        <v>3</v>
      </c>
      <c r="F39" s="12" t="s">
        <v>75</v>
      </c>
      <c r="G39" s="17" t="n">
        <v>1.6</v>
      </c>
      <c r="H39" s="12" t="s">
        <v>101</v>
      </c>
      <c r="I39" s="18" t="n">
        <v>0.025</v>
      </c>
      <c r="J39" s="12" t="s">
        <v>265</v>
      </c>
      <c r="K39" s="17" t="n">
        <v>5</v>
      </c>
      <c r="L39" s="13" t="s">
        <v>85</v>
      </c>
      <c r="M39" s="13" t="s">
        <v>266</v>
      </c>
    </row>
    <row r="40" customFormat="false" ht="15" hidden="false" customHeight="false" outlineLevel="0" collapsed="false">
      <c r="A40" s="13" t="s">
        <v>267</v>
      </c>
      <c r="B40" s="16" t="s">
        <v>268</v>
      </c>
      <c r="C40" s="12" t="s">
        <v>153</v>
      </c>
      <c r="D40" s="12" t="s">
        <v>257</v>
      </c>
      <c r="E40" s="10" t="n">
        <v>1</v>
      </c>
      <c r="F40" s="12" t="s">
        <v>81</v>
      </c>
      <c r="G40" s="17" t="n">
        <v>28</v>
      </c>
      <c r="H40" s="12" t="s">
        <v>103</v>
      </c>
      <c r="I40" s="18" t="n">
        <v>0.025</v>
      </c>
      <c r="J40" s="12" t="s">
        <v>269</v>
      </c>
      <c r="K40" s="17" t="n">
        <v>3</v>
      </c>
      <c r="L40" s="13" t="s">
        <v>85</v>
      </c>
      <c r="M40" s="13" t="s">
        <v>270</v>
      </c>
    </row>
    <row r="41" customFormat="false" ht="15" hidden="false" customHeight="false" outlineLevel="0" collapsed="false">
      <c r="A41" s="13" t="s">
        <v>271</v>
      </c>
      <c r="B41" s="16" t="s">
        <v>272</v>
      </c>
      <c r="C41" s="12" t="s">
        <v>153</v>
      </c>
      <c r="D41" s="12" t="s">
        <v>257</v>
      </c>
      <c r="E41" s="10" t="n">
        <v>2</v>
      </c>
      <c r="F41" s="12" t="s">
        <v>81</v>
      </c>
      <c r="G41" s="17" t="n">
        <v>28</v>
      </c>
      <c r="H41" s="12" t="s">
        <v>103</v>
      </c>
      <c r="I41" s="18" t="n">
        <v>0.025</v>
      </c>
      <c r="J41" s="12" t="s">
        <v>273</v>
      </c>
      <c r="K41" s="17" t="n">
        <v>0.5</v>
      </c>
      <c r="L41" s="12" t="s">
        <v>159</v>
      </c>
      <c r="M41" s="13" t="s">
        <v>274</v>
      </c>
    </row>
    <row r="42" customFormat="false" ht="15" hidden="false" customHeight="false" outlineLevel="0" collapsed="false">
      <c r="A42" s="13" t="s">
        <v>275</v>
      </c>
      <c r="B42" s="16" t="s">
        <v>276</v>
      </c>
      <c r="C42" s="12" t="s">
        <v>153</v>
      </c>
      <c r="D42" s="12" t="s">
        <v>257</v>
      </c>
      <c r="E42" s="10" t="n">
        <v>3</v>
      </c>
      <c r="F42" s="12" t="s">
        <v>81</v>
      </c>
      <c r="G42" s="17" t="n">
        <v>28</v>
      </c>
      <c r="H42" s="12" t="s">
        <v>103</v>
      </c>
      <c r="I42" s="18" t="n">
        <v>0.025</v>
      </c>
      <c r="J42" s="12" t="s">
        <v>277</v>
      </c>
      <c r="K42" s="17" t="n">
        <v>3</v>
      </c>
      <c r="L42" s="13" t="s">
        <v>85</v>
      </c>
      <c r="M42" s="13" t="s">
        <v>278</v>
      </c>
    </row>
    <row r="43" customFormat="false" ht="15" hidden="false" customHeight="false" outlineLevel="0" collapsed="false">
      <c r="A43" s="13" t="s">
        <v>279</v>
      </c>
      <c r="B43" s="16" t="s">
        <v>280</v>
      </c>
      <c r="C43" s="12" t="s">
        <v>167</v>
      </c>
      <c r="D43" s="12" t="s">
        <v>257</v>
      </c>
      <c r="E43" s="10" t="n">
        <v>1</v>
      </c>
      <c r="F43" s="12" t="s">
        <v>101</v>
      </c>
      <c r="G43" s="18" t="n">
        <v>0.05</v>
      </c>
      <c r="H43" s="12" t="s">
        <v>115</v>
      </c>
      <c r="I43" s="18" t="n">
        <v>0.1</v>
      </c>
      <c r="J43" s="13" t="s">
        <v>78</v>
      </c>
      <c r="K43" s="12"/>
      <c r="L43" s="12"/>
      <c r="M43" s="12"/>
    </row>
    <row r="44" customFormat="false" ht="15" hidden="false" customHeight="false" outlineLevel="0" collapsed="false">
      <c r="A44" s="13" t="s">
        <v>281</v>
      </c>
      <c r="B44" s="16" t="s">
        <v>282</v>
      </c>
      <c r="C44" s="12" t="s">
        <v>167</v>
      </c>
      <c r="D44" s="12" t="s">
        <v>257</v>
      </c>
      <c r="E44" s="10" t="n">
        <v>2</v>
      </c>
      <c r="F44" s="12" t="s">
        <v>101</v>
      </c>
      <c r="G44" s="18" t="n">
        <v>0.05</v>
      </c>
      <c r="H44" s="12" t="s">
        <v>118</v>
      </c>
      <c r="I44" s="18" t="n">
        <v>0.1</v>
      </c>
      <c r="J44" s="13" t="s">
        <v>78</v>
      </c>
      <c r="K44" s="12"/>
      <c r="L44" s="12"/>
      <c r="M44" s="12"/>
    </row>
    <row r="45" customFormat="false" ht="15" hidden="false" customHeight="false" outlineLevel="0" collapsed="false">
      <c r="A45" s="13" t="s">
        <v>283</v>
      </c>
      <c r="B45" s="16" t="s">
        <v>284</v>
      </c>
      <c r="C45" s="12" t="s">
        <v>285</v>
      </c>
      <c r="D45" s="12" t="s">
        <v>286</v>
      </c>
      <c r="E45" s="10" t="n">
        <v>1</v>
      </c>
      <c r="F45" s="12" t="s">
        <v>84</v>
      </c>
      <c r="G45" s="18" t="n">
        <v>0.022</v>
      </c>
      <c r="H45" s="13" t="s">
        <v>78</v>
      </c>
      <c r="I45" s="12"/>
      <c r="J45" s="13" t="s">
        <v>78</v>
      </c>
      <c r="K45" s="12"/>
      <c r="L45" s="12"/>
      <c r="M45" s="12"/>
    </row>
    <row r="46" customFormat="false" ht="15" hidden="false" customHeight="false" outlineLevel="0" collapsed="false">
      <c r="A46" s="13" t="s">
        <v>287</v>
      </c>
      <c r="B46" s="16" t="s">
        <v>288</v>
      </c>
      <c r="C46" s="12" t="s">
        <v>285</v>
      </c>
      <c r="D46" s="12" t="s">
        <v>286</v>
      </c>
      <c r="E46" s="10" t="n">
        <v>2</v>
      </c>
      <c r="F46" s="12" t="s">
        <v>93</v>
      </c>
      <c r="G46" s="18" t="n">
        <v>0.015</v>
      </c>
      <c r="H46" s="13" t="s">
        <v>78</v>
      </c>
      <c r="I46" s="12"/>
      <c r="J46" s="13" t="s">
        <v>78</v>
      </c>
      <c r="K46" s="12"/>
      <c r="L46" s="12"/>
      <c r="M46" s="12"/>
    </row>
    <row r="47" customFormat="false" ht="15" hidden="false" customHeight="false" outlineLevel="0" collapsed="false">
      <c r="A47" s="13" t="s">
        <v>289</v>
      </c>
      <c r="B47" s="16" t="s">
        <v>290</v>
      </c>
      <c r="C47" s="12" t="s">
        <v>285</v>
      </c>
      <c r="D47" s="12" t="s">
        <v>286</v>
      </c>
      <c r="E47" s="10" t="n">
        <v>3</v>
      </c>
      <c r="F47" s="12" t="s">
        <v>112</v>
      </c>
      <c r="G47" s="18" t="n">
        <v>0.05</v>
      </c>
      <c r="H47" s="13" t="s">
        <v>78</v>
      </c>
      <c r="I47" s="12"/>
      <c r="J47" s="13" t="s">
        <v>78</v>
      </c>
      <c r="K47" s="12"/>
      <c r="L47" s="12"/>
      <c r="M47" s="12"/>
    </row>
    <row r="48" customFormat="false" ht="15" hidden="false" customHeight="false" outlineLevel="0" collapsed="false">
      <c r="A48" s="13" t="s">
        <v>291</v>
      </c>
      <c r="B48" s="16" t="s">
        <v>292</v>
      </c>
      <c r="C48" s="12" t="s">
        <v>293</v>
      </c>
      <c r="D48" s="12" t="s">
        <v>286</v>
      </c>
      <c r="E48" s="10" t="n">
        <v>1</v>
      </c>
      <c r="F48" s="12" t="s">
        <v>97</v>
      </c>
      <c r="G48" s="18" t="n">
        <v>0.04</v>
      </c>
      <c r="H48" s="13" t="s">
        <v>78</v>
      </c>
      <c r="I48" s="12"/>
      <c r="J48" s="13" t="s">
        <v>78</v>
      </c>
      <c r="K48" s="12"/>
      <c r="L48" s="12"/>
      <c r="M48" s="12"/>
    </row>
    <row r="49" customFormat="false" ht="15" hidden="false" customHeight="false" outlineLevel="0" collapsed="false">
      <c r="A49" s="13" t="s">
        <v>294</v>
      </c>
      <c r="B49" s="16" t="s">
        <v>295</v>
      </c>
      <c r="C49" s="12" t="s">
        <v>293</v>
      </c>
      <c r="D49" s="12" t="s">
        <v>286</v>
      </c>
      <c r="E49" s="10" t="n">
        <v>2</v>
      </c>
      <c r="F49" s="12" t="s">
        <v>99</v>
      </c>
      <c r="G49" s="18" t="n">
        <v>0.015</v>
      </c>
      <c r="H49" s="13" t="s">
        <v>78</v>
      </c>
      <c r="I49" s="12"/>
      <c r="J49" s="13" t="s">
        <v>78</v>
      </c>
      <c r="K49" s="12"/>
      <c r="L49" s="12"/>
      <c r="M49" s="12"/>
    </row>
    <row r="50" customFormat="false" ht="15" hidden="false" customHeight="false" outlineLevel="0" collapsed="false">
      <c r="A50" s="13" t="s">
        <v>296</v>
      </c>
      <c r="B50" s="16" t="s">
        <v>297</v>
      </c>
      <c r="C50" s="12" t="s">
        <v>293</v>
      </c>
      <c r="D50" s="12" t="s">
        <v>286</v>
      </c>
      <c r="E50" s="10" t="n">
        <v>3</v>
      </c>
      <c r="F50" s="12" t="s">
        <v>103</v>
      </c>
      <c r="G50" s="18" t="n">
        <v>0.05</v>
      </c>
      <c r="H50" s="13" t="s">
        <v>78</v>
      </c>
      <c r="I50" s="12"/>
      <c r="J50" s="13" t="s">
        <v>78</v>
      </c>
      <c r="K50" s="12"/>
      <c r="L50" s="12"/>
      <c r="M50" s="12"/>
    </row>
    <row r="51" customFormat="false" ht="15" hidden="false" customHeight="false" outlineLevel="0" collapsed="false">
      <c r="A51" s="13" t="s">
        <v>298</v>
      </c>
      <c r="B51" s="16" t="s">
        <v>299</v>
      </c>
      <c r="C51" s="12" t="s">
        <v>300</v>
      </c>
      <c r="D51" s="12" t="s">
        <v>286</v>
      </c>
      <c r="E51" s="10" t="n">
        <v>1</v>
      </c>
      <c r="F51" s="12" t="s">
        <v>87</v>
      </c>
      <c r="G51" s="18" t="n">
        <v>0.035</v>
      </c>
      <c r="H51" s="13" t="s">
        <v>78</v>
      </c>
      <c r="I51" s="12"/>
      <c r="J51" s="13" t="s">
        <v>78</v>
      </c>
      <c r="K51" s="12"/>
      <c r="L51" s="12"/>
      <c r="M51" s="12"/>
    </row>
    <row r="52" customFormat="false" ht="15" hidden="false" customHeight="false" outlineLevel="0" collapsed="false">
      <c r="A52" s="13" t="s">
        <v>301</v>
      </c>
      <c r="B52" s="16" t="s">
        <v>302</v>
      </c>
      <c r="C52" s="12" t="s">
        <v>300</v>
      </c>
      <c r="D52" s="12" t="s">
        <v>286</v>
      </c>
      <c r="E52" s="10" t="n">
        <v>2</v>
      </c>
      <c r="F52" s="12" t="s">
        <v>89</v>
      </c>
      <c r="G52" s="18" t="n">
        <v>0.015</v>
      </c>
      <c r="H52" s="13" t="s">
        <v>78</v>
      </c>
      <c r="I52" s="12"/>
      <c r="J52" s="13" t="s">
        <v>78</v>
      </c>
      <c r="K52" s="12"/>
      <c r="L52" s="12"/>
      <c r="M52" s="12"/>
    </row>
    <row r="53" customFormat="false" ht="15" hidden="false" customHeight="false" outlineLevel="0" collapsed="false">
      <c r="A53" s="13" t="s">
        <v>303</v>
      </c>
      <c r="B53" s="16" t="s">
        <v>304</v>
      </c>
      <c r="C53" s="12" t="s">
        <v>300</v>
      </c>
      <c r="D53" s="12" t="s">
        <v>286</v>
      </c>
      <c r="E53" s="10" t="n">
        <v>3</v>
      </c>
      <c r="F53" s="12" t="s">
        <v>105</v>
      </c>
      <c r="G53" s="18" t="n">
        <v>0.03</v>
      </c>
      <c r="H53" s="12" t="s">
        <v>87</v>
      </c>
      <c r="I53" s="18" t="n">
        <v>0.015</v>
      </c>
      <c r="J53" s="13" t="s">
        <v>78</v>
      </c>
      <c r="K53" s="12"/>
      <c r="L53" s="12"/>
      <c r="M5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4" min="3" style="0" width="7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9"/>
    <col collapsed="false" customWidth="true" hidden="false" outlineLevel="0" max="13" min="11" style="0" width="10"/>
    <col collapsed="false" customWidth="true" hidden="false" outlineLevel="0" max="14" min="14" style="0" width="11"/>
  </cols>
  <sheetData>
    <row r="1" customFormat="false" ht="19.4" hidden="false" customHeight="false" outlineLevel="0" collapsed="false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6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41.75" hidden="false" customHeight="false" outlineLevel="0" collapsed="false">
      <c r="A4" s="7" t="s">
        <v>29</v>
      </c>
      <c r="B4" s="7" t="s">
        <v>126</v>
      </c>
      <c r="C4" s="7" t="s">
        <v>127</v>
      </c>
      <c r="D4" s="7" t="s">
        <v>27</v>
      </c>
      <c r="E4" s="7" t="s">
        <v>129</v>
      </c>
      <c r="F4" s="7" t="s">
        <v>307</v>
      </c>
      <c r="G4" s="7" t="s">
        <v>131</v>
      </c>
      <c r="H4" s="7" t="s">
        <v>308</v>
      </c>
      <c r="I4" s="7" t="s">
        <v>133</v>
      </c>
      <c r="J4" s="7" t="s">
        <v>309</v>
      </c>
      <c r="K4" s="7" t="s">
        <v>31</v>
      </c>
      <c r="L4" s="7" t="s">
        <v>310</v>
      </c>
      <c r="M4" s="7" t="s">
        <v>55</v>
      </c>
      <c r="N4" s="7" t="s">
        <v>56</v>
      </c>
    </row>
    <row r="5" customFormat="false" ht="15" hidden="false" customHeight="false" outlineLevel="0" collapsed="false">
      <c r="A5" s="19" t="str">
        <f aca="false">장비_기본!B5</f>
        <v>수호자의 메이스</v>
      </c>
      <c r="B5" s="19" t="str">
        <f aca="false">장비_기본!C5</f>
        <v>무기</v>
      </c>
      <c r="C5" s="19" t="str">
        <f aca="false">장비_기본!D5</f>
        <v>탱커</v>
      </c>
      <c r="D5" s="8" t="s">
        <v>43</v>
      </c>
      <c r="E5" s="19" t="str">
        <f aca="false">장비_기본!F5</f>
        <v>공격력</v>
      </c>
      <c r="F5" s="20" t="n">
        <f aca="false">장비_기본!G5*INDEX(등급!$C$5:$C$12,MATCH($D5,등급!$A$5:$A$12,0))</f>
        <v>2.2</v>
      </c>
      <c r="G5" s="19" t="str">
        <f aca="false">장비_기본!H5</f>
        <v>받는 피해 감소</v>
      </c>
      <c r="H5" s="21" t="n">
        <f aca="false">장비_기본!I5*INDEX(등급!$C$5:$C$12,MATCH($D5,등급!$A$5:$A$12,0))</f>
        <v>0.006</v>
      </c>
      <c r="I5" s="19" t="str">
        <f aca="false">장비_기본!J5</f>
        <v>② 방패 강타 그로기 피해 +[값]%</v>
      </c>
      <c r="J5" s="20" t="n">
        <f aca="false">ROUND(장비_기본!K5*INDEX(등급!$F$5:$F$12,MATCH($D5,등급!$A$5:$A$12,0)),1)</f>
        <v>15</v>
      </c>
      <c r="K5" s="19" t="n">
        <f aca="false">INDEX(등급!$D$5:$D$12,MATCH($D5,등급!$A$5:$A$12,0))</f>
        <v>0</v>
      </c>
      <c r="L5" s="19" t="str">
        <f aca="false">IF(INDEX(등급!$H$5:$H$12,MATCH($D5,등급!$A$5:$A$12,0))=0,"-",IF(INDEX(등급!$G$5:$G$12,MATCH($D5,등급!$A$5:$A$12,0))=INDEX(등급!$H$5:$H$12,MATCH($D5,등급!$A$5:$A$12,0)),INDEX(등급!$G$5:$G$12,MATCH($D5,등급!$A$5:$A$12,0))&amp;"칸",INDEX(등급!$G$5:$G$12,MATCH($D5,등급!$A$5:$A$12,0))&amp;"~"&amp;INDEX(등급!$H$5:$H$12,MATCH($D5,등급!$A$5:$A$12,0))&amp;"칸"))</f>
        <v>-</v>
      </c>
      <c r="M5" s="19" t="str">
        <f aca="false">IF(INDEX(등급!$J$5:$J$12,MATCH($D5,등급!$A$5:$A$12,0))=0,"-",IF(INDEX(등급!$I$5:$I$12,MATCH($D5,등급!$A$5:$A$12,0))=INDEX(등급!$J$5:$J$12,MATCH($D5,등급!$A$5:$A$12,0)),INDEX(등급!$I$5:$I$12,MATCH($D5,등급!$A$5:$A$12,0))&amp;"개",INDEX(등급!$I$5:$I$12,MATCH($D5,등급!$A$5:$A$12,0))&amp;"~"&amp;INDEX(등급!$J$5:$J$12,MATCH($D5,등급!$A$5:$A$12,0))&amp;"개"))</f>
        <v>-</v>
      </c>
      <c r="N5" s="19" t="str">
        <f aca="false">IF(INDEX(등급!$L$5:$L$12,MATCH($D5,등급!$A$5:$A$12,0))=0,"-",INDEX(등급!$K$5:$K$12,MATCH($D5,등급!$A$5:$A$12,0))&amp;"~"&amp;INDEX(등급!$L$5:$L$12,MATCH($D5,등급!$A$5:$A$12,0))&amp;"개")</f>
        <v>-</v>
      </c>
    </row>
    <row r="6" customFormat="false" ht="15" hidden="false" customHeight="false" outlineLevel="0" collapsed="false">
      <c r="A6" s="19" t="str">
        <f aca="false">장비_기본!B5</f>
        <v>수호자의 메이스</v>
      </c>
      <c r="B6" s="19" t="str">
        <f aca="false">장비_기본!C5</f>
        <v>무기</v>
      </c>
      <c r="C6" s="19" t="str">
        <f aca="false">장비_기본!D5</f>
        <v>탱커</v>
      </c>
      <c r="D6" s="8" t="s">
        <v>44</v>
      </c>
      <c r="E6" s="19" t="str">
        <f aca="false">장비_기본!F5</f>
        <v>공격력</v>
      </c>
      <c r="F6" s="20" t="n">
        <f aca="false">장비_기본!G5*INDEX(등급!$C$5:$C$12,MATCH($D6,등급!$A$5:$A$12,0))</f>
        <v>3.19</v>
      </c>
      <c r="G6" s="19" t="str">
        <f aca="false">장비_기본!H5</f>
        <v>받는 피해 감소</v>
      </c>
      <c r="H6" s="21" t="n">
        <f aca="false">장비_기본!I5*INDEX(등급!$C$5:$C$12,MATCH($D6,등급!$A$5:$A$12,0))</f>
        <v>0.0087</v>
      </c>
      <c r="I6" s="19" t="str">
        <f aca="false">장비_기본!J5</f>
        <v>② 방패 강타 그로기 피해 +[값]%</v>
      </c>
      <c r="J6" s="20" t="n">
        <f aca="false">ROUND(장비_기본!K5*INDEX(등급!$F$5:$F$12,MATCH($D6,등급!$A$5:$A$12,0)),1)</f>
        <v>20.3</v>
      </c>
      <c r="K6" s="19" t="n">
        <f aca="false">INDEX(등급!$D$5:$D$12,MATCH($D6,등급!$A$5:$A$12,0))</f>
        <v>0</v>
      </c>
      <c r="L6" s="19" t="str">
        <f aca="false">IF(INDEX(등급!$H$5:$H$12,MATCH($D6,등급!$A$5:$A$12,0))=0,"-",IF(INDEX(등급!$G$5:$G$12,MATCH($D6,등급!$A$5:$A$12,0))=INDEX(등급!$H$5:$H$12,MATCH($D6,등급!$A$5:$A$12,0)),INDEX(등급!$G$5:$G$12,MATCH($D6,등급!$A$5:$A$12,0))&amp;"칸",INDEX(등급!$G$5:$G$12,MATCH($D6,등급!$A$5:$A$12,0))&amp;"~"&amp;INDEX(등급!$H$5:$H$12,MATCH($D6,등급!$A$5:$A$12,0))&amp;"칸"))</f>
        <v>-</v>
      </c>
      <c r="M6" s="19" t="str">
        <f aca="false">IF(INDEX(등급!$J$5:$J$12,MATCH($D6,등급!$A$5:$A$12,0))=0,"-",IF(INDEX(등급!$I$5:$I$12,MATCH($D6,등급!$A$5:$A$12,0))=INDEX(등급!$J$5:$J$12,MATCH($D6,등급!$A$5:$A$12,0)),INDEX(등급!$I$5:$I$12,MATCH($D6,등급!$A$5:$A$12,0))&amp;"개",INDEX(등급!$I$5:$I$12,MATCH($D6,등급!$A$5:$A$12,0))&amp;"~"&amp;INDEX(등급!$J$5:$J$12,MATCH($D6,등급!$A$5:$A$12,0))&amp;"개"))</f>
        <v>-</v>
      </c>
      <c r="N6" s="19" t="str">
        <f aca="false">IF(INDEX(등급!$L$5:$L$12,MATCH($D6,등급!$A$5:$A$12,0))=0,"-",INDEX(등급!$K$5:$K$12,MATCH($D6,등급!$A$5:$A$12,0))&amp;"~"&amp;INDEX(등급!$L$5:$L$12,MATCH($D6,등급!$A$5:$A$12,0))&amp;"개")</f>
        <v>-</v>
      </c>
    </row>
    <row r="7" customFormat="false" ht="15" hidden="false" customHeight="false" outlineLevel="0" collapsed="false">
      <c r="A7" s="19" t="str">
        <f aca="false">장비_기본!B5</f>
        <v>수호자의 메이스</v>
      </c>
      <c r="B7" s="19" t="str">
        <f aca="false">장비_기본!C5</f>
        <v>무기</v>
      </c>
      <c r="C7" s="19" t="str">
        <f aca="false">장비_기본!D5</f>
        <v>탱커</v>
      </c>
      <c r="D7" s="8" t="s">
        <v>45</v>
      </c>
      <c r="E7" s="19" t="str">
        <f aca="false">장비_기본!F5</f>
        <v>공격력</v>
      </c>
      <c r="F7" s="20" t="n">
        <f aca="false">장비_기본!G5*INDEX(등급!$C$5:$C$12,MATCH($D7,등급!$A$5:$A$12,0))</f>
        <v>3.74</v>
      </c>
      <c r="G7" s="19" t="str">
        <f aca="false">장비_기본!H5</f>
        <v>받는 피해 감소</v>
      </c>
      <c r="H7" s="21" t="n">
        <f aca="false">장비_기본!I5*INDEX(등급!$C$5:$C$12,MATCH($D7,등급!$A$5:$A$12,0))</f>
        <v>0.0102</v>
      </c>
      <c r="I7" s="19" t="str">
        <f aca="false">장비_기본!J5</f>
        <v>② 방패 강타 그로기 피해 +[값]%</v>
      </c>
      <c r="J7" s="20" t="n">
        <f aca="false">ROUND(장비_기본!K5*INDEX(등급!$F$5:$F$12,MATCH($D7,등급!$A$5:$A$12,0)),1)</f>
        <v>22.5</v>
      </c>
      <c r="K7" s="19" t="n">
        <f aca="false">INDEX(등급!$D$5:$D$12,MATCH($D7,등급!$A$5:$A$12,0))</f>
        <v>1</v>
      </c>
      <c r="L7" s="19" t="str">
        <f aca="false">IF(INDEX(등급!$H$5:$H$12,MATCH($D7,등급!$A$5:$A$12,0))=0,"-",IF(INDEX(등급!$G$5:$G$12,MATCH($D7,등급!$A$5:$A$12,0))=INDEX(등급!$H$5:$H$12,MATCH($D7,등급!$A$5:$A$12,0)),INDEX(등급!$G$5:$G$12,MATCH($D7,등급!$A$5:$A$12,0))&amp;"칸",INDEX(등급!$G$5:$G$12,MATCH($D7,등급!$A$5:$A$12,0))&amp;"~"&amp;INDEX(등급!$H$5:$H$12,MATCH($D7,등급!$A$5:$A$12,0))&amp;"칸"))</f>
        <v>-</v>
      </c>
      <c r="M7" s="19" t="str">
        <f aca="false">IF(INDEX(등급!$J$5:$J$12,MATCH($D7,등급!$A$5:$A$12,0))=0,"-",IF(INDEX(등급!$I$5:$I$12,MATCH($D7,등급!$A$5:$A$12,0))=INDEX(등급!$J$5:$J$12,MATCH($D7,등급!$A$5:$A$12,0)),INDEX(등급!$I$5:$I$12,MATCH($D7,등급!$A$5:$A$12,0))&amp;"개",INDEX(등급!$I$5:$I$12,MATCH($D7,등급!$A$5:$A$12,0))&amp;"~"&amp;INDEX(등급!$J$5:$J$12,MATCH($D7,등급!$A$5:$A$12,0))&amp;"개"))</f>
        <v>-</v>
      </c>
      <c r="N7" s="19" t="str">
        <f aca="false">IF(INDEX(등급!$L$5:$L$12,MATCH($D7,등급!$A$5:$A$12,0))=0,"-",INDEX(등급!$K$5:$K$12,MATCH($D7,등급!$A$5:$A$12,0))&amp;"~"&amp;INDEX(등급!$L$5:$L$12,MATCH($D7,등급!$A$5:$A$12,0))&amp;"개")</f>
        <v>-</v>
      </c>
    </row>
    <row r="8" customFormat="false" ht="15" hidden="false" customHeight="false" outlineLevel="0" collapsed="false">
      <c r="A8" s="19" t="str">
        <f aca="false">장비_기본!B5</f>
        <v>수호자의 메이스</v>
      </c>
      <c r="B8" s="19" t="str">
        <f aca="false">장비_기본!C5</f>
        <v>무기</v>
      </c>
      <c r="C8" s="19" t="str">
        <f aca="false">장비_기본!D5</f>
        <v>탱커</v>
      </c>
      <c r="D8" s="8" t="s">
        <v>46</v>
      </c>
      <c r="E8" s="19" t="str">
        <f aca="false">장비_기본!F5</f>
        <v>공격력</v>
      </c>
      <c r="F8" s="20" t="n">
        <f aca="false">장비_기본!G5*INDEX(등급!$C$5:$C$12,MATCH($D8,등급!$A$5:$A$12,0))</f>
        <v>4.62</v>
      </c>
      <c r="G8" s="19" t="str">
        <f aca="false">장비_기본!H5</f>
        <v>받는 피해 감소</v>
      </c>
      <c r="H8" s="21" t="n">
        <f aca="false">장비_기본!I5*INDEX(등급!$C$5:$C$12,MATCH($D8,등급!$A$5:$A$12,0))</f>
        <v>0.0126</v>
      </c>
      <c r="I8" s="19" t="str">
        <f aca="false">장비_기본!J5</f>
        <v>② 방패 강타 그로기 피해 +[값]%</v>
      </c>
      <c r="J8" s="20" t="n">
        <f aca="false">ROUND(장비_기본!K5*INDEX(등급!$F$5:$F$12,MATCH($D8,등급!$A$5:$A$12,0)),1)</f>
        <v>26.3</v>
      </c>
      <c r="K8" s="19" t="n">
        <f aca="false">INDEX(등급!$D$5:$D$12,MATCH($D8,등급!$A$5:$A$12,0))</f>
        <v>2</v>
      </c>
      <c r="L8" s="19" t="str">
        <f aca="false">IF(INDEX(등급!$H$5:$H$12,MATCH($D8,등급!$A$5:$A$12,0))=0,"-",IF(INDEX(등급!$G$5:$G$12,MATCH($D8,등급!$A$5:$A$12,0))=INDEX(등급!$H$5:$H$12,MATCH($D8,등급!$A$5:$A$12,0)),INDEX(등급!$G$5:$G$12,MATCH($D8,등급!$A$5:$A$12,0))&amp;"칸",INDEX(등급!$G$5:$G$12,MATCH($D8,등급!$A$5:$A$12,0))&amp;"~"&amp;INDEX(등급!$H$5:$H$12,MATCH($D8,등급!$A$5:$A$12,0))&amp;"칸"))</f>
        <v>-</v>
      </c>
      <c r="M8" s="19" t="str">
        <f aca="false">IF(INDEX(등급!$J$5:$J$12,MATCH($D8,등급!$A$5:$A$12,0))=0,"-",IF(INDEX(등급!$I$5:$I$12,MATCH($D8,등급!$A$5:$A$12,0))=INDEX(등급!$J$5:$J$12,MATCH($D8,등급!$A$5:$A$12,0)),INDEX(등급!$I$5:$I$12,MATCH($D8,등급!$A$5:$A$12,0))&amp;"개",INDEX(등급!$I$5:$I$12,MATCH($D8,등급!$A$5:$A$12,0))&amp;"~"&amp;INDEX(등급!$J$5:$J$12,MATCH($D8,등급!$A$5:$A$12,0))&amp;"개"))</f>
        <v>-</v>
      </c>
      <c r="N8" s="19" t="str">
        <f aca="false">IF(INDEX(등급!$L$5:$L$12,MATCH($D8,등급!$A$5:$A$12,0))=0,"-",INDEX(등급!$K$5:$K$12,MATCH($D8,등급!$A$5:$A$12,0))&amp;"~"&amp;INDEX(등급!$L$5:$L$12,MATCH($D8,등급!$A$5:$A$12,0))&amp;"개")</f>
        <v>-</v>
      </c>
    </row>
    <row r="9" customFormat="false" ht="15" hidden="false" customHeight="false" outlineLevel="0" collapsed="false">
      <c r="A9" s="19" t="str">
        <f aca="false">장비_기본!B5</f>
        <v>수호자의 메이스</v>
      </c>
      <c r="B9" s="19" t="str">
        <f aca="false">장비_기본!C5</f>
        <v>무기</v>
      </c>
      <c r="C9" s="19" t="str">
        <f aca="false">장비_기본!D5</f>
        <v>탱커</v>
      </c>
      <c r="D9" s="8" t="s">
        <v>47</v>
      </c>
      <c r="E9" s="19" t="str">
        <f aca="false">장비_기본!F5</f>
        <v>공격력</v>
      </c>
      <c r="F9" s="20" t="n">
        <f aca="false">장비_기본!G5*INDEX(등급!$C$5:$C$12,MATCH($D9,등급!$A$5:$A$12,0))</f>
        <v>5.61</v>
      </c>
      <c r="G9" s="19" t="str">
        <f aca="false">장비_기본!H5</f>
        <v>받는 피해 감소</v>
      </c>
      <c r="H9" s="21" t="n">
        <f aca="false">장비_기본!I5*INDEX(등급!$C$5:$C$12,MATCH($D9,등급!$A$5:$A$12,0))</f>
        <v>0.0153</v>
      </c>
      <c r="I9" s="19" t="str">
        <f aca="false">장비_기본!J5</f>
        <v>② 방패 강타 그로기 피해 +[값]%</v>
      </c>
      <c r="J9" s="20" t="n">
        <f aca="false">ROUND(장비_기본!K5*INDEX(등급!$F$5:$F$12,MATCH($D9,등급!$A$5:$A$12,0)),1)</f>
        <v>30</v>
      </c>
      <c r="K9" s="19" t="n">
        <f aca="false">INDEX(등급!$D$5:$D$12,MATCH($D9,등급!$A$5:$A$12,0))</f>
        <v>3</v>
      </c>
      <c r="L9" s="19" t="str">
        <f aca="false">IF(INDEX(등급!$H$5:$H$12,MATCH($D9,등급!$A$5:$A$12,0))=0,"-",IF(INDEX(등급!$G$5:$G$12,MATCH($D9,등급!$A$5:$A$12,0))=INDEX(등급!$H$5:$H$12,MATCH($D9,등급!$A$5:$A$12,0)),INDEX(등급!$G$5:$G$12,MATCH($D9,등급!$A$5:$A$12,0))&amp;"칸",INDEX(등급!$G$5:$G$12,MATCH($D9,등급!$A$5:$A$12,0))&amp;"~"&amp;INDEX(등급!$H$5:$H$12,MATCH($D9,등급!$A$5:$A$12,0))&amp;"칸"))</f>
        <v>-</v>
      </c>
      <c r="M9" s="19" t="str">
        <f aca="false">IF(INDEX(등급!$J$5:$J$12,MATCH($D9,등급!$A$5:$A$12,0))=0,"-",IF(INDEX(등급!$I$5:$I$12,MATCH($D9,등급!$A$5:$A$12,0))=INDEX(등급!$J$5:$J$12,MATCH($D9,등급!$A$5:$A$12,0)),INDEX(등급!$I$5:$I$12,MATCH($D9,등급!$A$5:$A$12,0))&amp;"개",INDEX(등급!$I$5:$I$12,MATCH($D9,등급!$A$5:$A$12,0))&amp;"~"&amp;INDEX(등급!$J$5:$J$12,MATCH($D9,등급!$A$5:$A$12,0))&amp;"개"))</f>
        <v>-</v>
      </c>
      <c r="N9" s="19" t="str">
        <f aca="false">IF(INDEX(등급!$L$5:$L$12,MATCH($D9,등급!$A$5:$A$12,0))=0,"-",INDEX(등급!$K$5:$K$12,MATCH($D9,등급!$A$5:$A$12,0))&amp;"~"&amp;INDEX(등급!$L$5:$L$12,MATCH($D9,등급!$A$5:$A$12,0))&amp;"개")</f>
        <v>-</v>
      </c>
    </row>
    <row r="10" customFormat="false" ht="15" hidden="false" customHeight="false" outlineLevel="0" collapsed="false">
      <c r="A10" s="19" t="str">
        <f aca="false">장비_기본!B5</f>
        <v>수호자의 메이스</v>
      </c>
      <c r="B10" s="19" t="str">
        <f aca="false">장비_기본!C5</f>
        <v>무기</v>
      </c>
      <c r="C10" s="19" t="str">
        <f aca="false">장비_기본!D5</f>
        <v>탱커</v>
      </c>
      <c r="D10" s="8" t="s">
        <v>48</v>
      </c>
      <c r="E10" s="19" t="str">
        <f aca="false">장비_기본!F5</f>
        <v>공격력</v>
      </c>
      <c r="F10" s="20" t="n">
        <f aca="false">장비_기본!G5*INDEX(등급!$C$5:$C$12,MATCH($D10,등급!$A$5:$A$12,0))</f>
        <v>6.71</v>
      </c>
      <c r="G10" s="19" t="str">
        <f aca="false">장비_기본!H5</f>
        <v>받는 피해 감소</v>
      </c>
      <c r="H10" s="21" t="n">
        <f aca="false">장비_기본!I5*INDEX(등급!$C$5:$C$12,MATCH($D10,등급!$A$5:$A$12,0))</f>
        <v>0.0183</v>
      </c>
      <c r="I10" s="19" t="str">
        <f aca="false">장비_기본!J5</f>
        <v>② 방패 강타 그로기 피해 +[값]%</v>
      </c>
      <c r="J10" s="20" t="n">
        <f aca="false">ROUND(장비_기본!K5*INDEX(등급!$F$5:$F$12,MATCH($D10,등급!$A$5:$A$12,0)),1)</f>
        <v>34.5</v>
      </c>
      <c r="K10" s="19" t="n">
        <f aca="false">INDEX(등급!$D$5:$D$12,MATCH($D10,등급!$A$5:$A$12,0))</f>
        <v>4</v>
      </c>
      <c r="L10" s="19" t="str">
        <f aca="false">IF(INDEX(등급!$H$5:$H$12,MATCH($D10,등급!$A$5:$A$12,0))=0,"-",IF(INDEX(등급!$G$5:$G$12,MATCH($D10,등급!$A$5:$A$12,0))=INDEX(등급!$H$5:$H$12,MATCH($D10,등급!$A$5:$A$12,0)),INDEX(등급!$G$5:$G$12,MATCH($D10,등급!$A$5:$A$12,0))&amp;"칸",INDEX(등급!$G$5:$G$12,MATCH($D10,등급!$A$5:$A$12,0))&amp;"~"&amp;INDEX(등급!$H$5:$H$12,MATCH($D10,등급!$A$5:$A$12,0))&amp;"칸"))</f>
        <v>-</v>
      </c>
      <c r="M10" s="19" t="str">
        <f aca="false">IF(INDEX(등급!$J$5:$J$12,MATCH($D10,등급!$A$5:$A$12,0))=0,"-",IF(INDEX(등급!$I$5:$I$12,MATCH($D10,등급!$A$5:$A$12,0))=INDEX(등급!$J$5:$J$12,MATCH($D10,등급!$A$5:$A$12,0)),INDEX(등급!$I$5:$I$12,MATCH($D10,등급!$A$5:$A$12,0))&amp;"개",INDEX(등급!$I$5:$I$12,MATCH($D10,등급!$A$5:$A$12,0))&amp;"~"&amp;INDEX(등급!$J$5:$J$12,MATCH($D10,등급!$A$5:$A$12,0))&amp;"개"))</f>
        <v>-</v>
      </c>
      <c r="N10" s="19" t="str">
        <f aca="false">IF(INDEX(등급!$L$5:$L$12,MATCH($D10,등급!$A$5:$A$12,0))=0,"-",INDEX(등급!$K$5:$K$12,MATCH($D10,등급!$A$5:$A$12,0))&amp;"~"&amp;INDEX(등급!$L$5:$L$12,MATCH($D10,등급!$A$5:$A$12,0))&amp;"개")</f>
        <v>-</v>
      </c>
    </row>
    <row r="11" customFormat="false" ht="15" hidden="false" customHeight="false" outlineLevel="0" collapsed="false">
      <c r="A11" s="19" t="str">
        <f aca="false">장비_기본!B5</f>
        <v>수호자의 메이스</v>
      </c>
      <c r="B11" s="19" t="str">
        <f aca="false">장비_기본!C5</f>
        <v>무기</v>
      </c>
      <c r="C11" s="19" t="str">
        <f aca="false">장비_기본!D5</f>
        <v>탱커</v>
      </c>
      <c r="D11" s="8" t="s">
        <v>49</v>
      </c>
      <c r="E11" s="19" t="str">
        <f aca="false">장비_기본!F5</f>
        <v>공격력</v>
      </c>
      <c r="F11" s="20" t="n">
        <f aca="false">장비_기본!G5*INDEX(등급!$C$5:$C$12,MATCH($D11,등급!$A$5:$A$12,0))</f>
        <v>7.04</v>
      </c>
      <c r="G11" s="19" t="str">
        <f aca="false">장비_기본!H5</f>
        <v>받는 피해 감소</v>
      </c>
      <c r="H11" s="21" t="n">
        <f aca="false">장비_기본!I5*INDEX(등급!$C$5:$C$12,MATCH($D11,등급!$A$5:$A$12,0))</f>
        <v>0.0192</v>
      </c>
      <c r="I11" s="19" t="str">
        <f aca="false">장비_기본!J5</f>
        <v>② 방패 강타 그로기 피해 +[값]%</v>
      </c>
      <c r="J11" s="20" t="n">
        <f aca="false">ROUND(장비_기본!K5*INDEX(등급!$F$5:$F$12,MATCH($D11,등급!$A$5:$A$12,0)),1)</f>
        <v>39.8</v>
      </c>
      <c r="K11" s="19" t="n">
        <f aca="false">INDEX(등급!$D$5:$D$12,MATCH($D11,등급!$A$5:$A$12,0))</f>
        <v>4</v>
      </c>
      <c r="L11" s="19" t="str">
        <f aca="false">IF(INDEX(등급!$H$5:$H$12,MATCH($D11,등급!$A$5:$A$12,0))=0,"-",IF(INDEX(등급!$G$5:$G$12,MATCH($D11,등급!$A$5:$A$12,0))=INDEX(등급!$H$5:$H$12,MATCH($D11,등급!$A$5:$A$12,0)),INDEX(등급!$G$5:$G$12,MATCH($D11,등급!$A$5:$A$12,0))&amp;"칸",INDEX(등급!$G$5:$G$12,MATCH($D11,등급!$A$5:$A$12,0))&amp;"~"&amp;INDEX(등급!$H$5:$H$12,MATCH($D11,등급!$A$5:$A$12,0))&amp;"칸"))</f>
        <v>1칸</v>
      </c>
      <c r="M11" s="19" t="str">
        <f aca="false">IF(INDEX(등급!$J$5:$J$12,MATCH($D11,등급!$A$5:$A$12,0))=0,"-",IF(INDEX(등급!$I$5:$I$12,MATCH($D11,등급!$A$5:$A$12,0))=INDEX(등급!$J$5:$J$12,MATCH($D11,등급!$A$5:$A$12,0)),INDEX(등급!$I$5:$I$12,MATCH($D11,등급!$A$5:$A$12,0))&amp;"개",INDEX(등급!$I$5:$I$12,MATCH($D11,등급!$A$5:$A$12,0))&amp;"~"&amp;INDEX(등급!$J$5:$J$12,MATCH($D11,등급!$A$5:$A$12,0))&amp;"개"))</f>
        <v>0~1개</v>
      </c>
      <c r="N11" s="19" t="str">
        <f aca="false">IF(INDEX(등급!$L$5:$L$12,MATCH($D11,등급!$A$5:$A$12,0))=0,"-",INDEX(등급!$K$5:$K$12,MATCH($D11,등급!$A$5:$A$12,0))&amp;"~"&amp;INDEX(등급!$L$5:$L$12,MATCH($D11,등급!$A$5:$A$12,0))&amp;"개")</f>
        <v>0~1개</v>
      </c>
    </row>
    <row r="12" customFormat="false" ht="15" hidden="false" customHeight="false" outlineLevel="0" collapsed="false">
      <c r="A12" s="19" t="str">
        <f aca="false">장비_기본!B5</f>
        <v>수호자의 메이스</v>
      </c>
      <c r="B12" s="19" t="str">
        <f aca="false">장비_기본!C5</f>
        <v>무기</v>
      </c>
      <c r="C12" s="19" t="str">
        <f aca="false">장비_기본!D5</f>
        <v>탱커</v>
      </c>
      <c r="D12" s="8" t="s">
        <v>51</v>
      </c>
      <c r="E12" s="19" t="str">
        <f aca="false">장비_기본!F5</f>
        <v>공격력</v>
      </c>
      <c r="F12" s="20" t="n">
        <f aca="false">장비_기본!G5*INDEX(등급!$C$5:$C$12,MATCH($D12,등급!$A$5:$A$12,0))</f>
        <v>7.26</v>
      </c>
      <c r="G12" s="19" t="str">
        <f aca="false">장비_기본!H5</f>
        <v>받는 피해 감소</v>
      </c>
      <c r="H12" s="21" t="n">
        <f aca="false">장비_기본!I5*INDEX(등급!$C$5:$C$12,MATCH($D12,등급!$A$5:$A$12,0))</f>
        <v>0.0198</v>
      </c>
      <c r="I12" s="19" t="str">
        <f aca="false">장비_기본!J5</f>
        <v>② 방패 강타 그로기 피해 +[값]%</v>
      </c>
      <c r="J12" s="20" t="n">
        <f aca="false">ROUND(장비_기본!K5*INDEX(등급!$F$5:$F$12,MATCH($D12,등급!$A$5:$A$12,0)),1)</f>
        <v>45</v>
      </c>
      <c r="K12" s="19" t="n">
        <f aca="false">INDEX(등급!$D$5:$D$12,MATCH($D12,등급!$A$5:$A$12,0))</f>
        <v>4</v>
      </c>
      <c r="L12" s="19" t="str">
        <f aca="false">IF(INDEX(등급!$H$5:$H$12,MATCH($D12,등급!$A$5:$A$12,0))=0,"-",IF(INDEX(등급!$G$5:$G$12,MATCH($D12,등급!$A$5:$A$12,0))=INDEX(등급!$H$5:$H$12,MATCH($D12,등급!$A$5:$A$12,0)),INDEX(등급!$G$5:$G$12,MATCH($D12,등급!$A$5:$A$12,0))&amp;"칸",INDEX(등급!$G$5:$G$12,MATCH($D12,등급!$A$5:$A$12,0))&amp;"~"&amp;INDEX(등급!$H$5:$H$12,MATCH($D12,등급!$A$5:$A$12,0))&amp;"칸"))</f>
        <v>1~3칸</v>
      </c>
      <c r="M12" s="19" t="str">
        <f aca="false">IF(INDEX(등급!$J$5:$J$12,MATCH($D12,등급!$A$5:$A$12,0))=0,"-",IF(INDEX(등급!$I$5:$I$12,MATCH($D12,등급!$A$5:$A$12,0))=INDEX(등급!$J$5:$J$12,MATCH($D12,등급!$A$5:$A$12,0)),INDEX(등급!$I$5:$I$12,MATCH($D12,등급!$A$5:$A$12,0))&amp;"개",INDEX(등급!$I$5:$I$12,MATCH($D12,등급!$A$5:$A$12,0))&amp;"~"&amp;INDEX(등급!$J$5:$J$12,MATCH($D12,등급!$A$5:$A$12,0))&amp;"개"))</f>
        <v>1개</v>
      </c>
      <c r="N12" s="19" t="str">
        <f aca="false">IF(INDEX(등급!$L$5:$L$12,MATCH($D12,등급!$A$5:$A$12,0))=0,"-",INDEX(등급!$K$5:$K$12,MATCH($D12,등급!$A$5:$A$12,0))&amp;"~"&amp;INDEX(등급!$L$5:$L$12,MATCH($D12,등급!$A$5:$A$12,0))&amp;"개")</f>
        <v>0~2개</v>
      </c>
    </row>
    <row r="13" customFormat="false" ht="15" hidden="false" customHeight="false" outlineLevel="0" collapsed="false">
      <c r="A13" s="19" t="str">
        <f aca="false">장비_기본!B6</f>
        <v>맹세의 장검</v>
      </c>
      <c r="B13" s="19" t="str">
        <f aca="false">장비_기본!C6</f>
        <v>무기</v>
      </c>
      <c r="C13" s="19" t="str">
        <f aca="false">장비_기본!D6</f>
        <v>탱커</v>
      </c>
      <c r="D13" s="8" t="s">
        <v>43</v>
      </c>
      <c r="E13" s="19" t="str">
        <f aca="false">장비_기본!F6</f>
        <v>공격력</v>
      </c>
      <c r="F13" s="20" t="n">
        <f aca="false">장비_기본!G6*INDEX(등급!$C$5:$C$12,MATCH($D13,등급!$A$5:$A$12,0))</f>
        <v>2.2</v>
      </c>
      <c r="G13" s="19" t="str">
        <f aca="false">장비_기본!H6</f>
        <v>받는 피해 감소</v>
      </c>
      <c r="H13" s="21" t="n">
        <f aca="false">장비_기본!I6*INDEX(등급!$C$5:$C$12,MATCH($D13,등급!$A$5:$A$12,0))</f>
        <v>0.006</v>
      </c>
      <c r="I13" s="19" t="str">
        <f aca="false">장비_기본!J6</f>
        <v>① 도발 중 받는 피해 감소 +[값]%p</v>
      </c>
      <c r="J13" s="20" t="n">
        <f aca="false">ROUND(장비_기본!K6*INDEX(등급!$F$5:$F$12,MATCH($D13,등급!$A$5:$A$12,0)),1)</f>
        <v>3</v>
      </c>
      <c r="K13" s="19" t="n">
        <f aca="false">INDEX(등급!$D$5:$D$12,MATCH($D13,등급!$A$5:$A$12,0))</f>
        <v>0</v>
      </c>
      <c r="L13" s="19" t="str">
        <f aca="false">IF(INDEX(등급!$H$5:$H$12,MATCH($D13,등급!$A$5:$A$12,0))=0,"-",IF(INDEX(등급!$G$5:$G$12,MATCH($D13,등급!$A$5:$A$12,0))=INDEX(등급!$H$5:$H$12,MATCH($D13,등급!$A$5:$A$12,0)),INDEX(등급!$G$5:$G$12,MATCH($D13,등급!$A$5:$A$12,0))&amp;"칸",INDEX(등급!$G$5:$G$12,MATCH($D13,등급!$A$5:$A$12,0))&amp;"~"&amp;INDEX(등급!$H$5:$H$12,MATCH($D13,등급!$A$5:$A$12,0))&amp;"칸"))</f>
        <v>-</v>
      </c>
      <c r="M13" s="19" t="str">
        <f aca="false">IF(INDEX(등급!$J$5:$J$12,MATCH($D13,등급!$A$5:$A$12,0))=0,"-",IF(INDEX(등급!$I$5:$I$12,MATCH($D13,등급!$A$5:$A$12,0))=INDEX(등급!$J$5:$J$12,MATCH($D13,등급!$A$5:$A$12,0)),INDEX(등급!$I$5:$I$12,MATCH($D13,등급!$A$5:$A$12,0))&amp;"개",INDEX(등급!$I$5:$I$12,MATCH($D13,등급!$A$5:$A$12,0))&amp;"~"&amp;INDEX(등급!$J$5:$J$12,MATCH($D13,등급!$A$5:$A$12,0))&amp;"개"))</f>
        <v>-</v>
      </c>
      <c r="N13" s="19" t="str">
        <f aca="false">IF(INDEX(등급!$L$5:$L$12,MATCH($D13,등급!$A$5:$A$12,0))=0,"-",INDEX(등급!$K$5:$K$12,MATCH($D13,등급!$A$5:$A$12,0))&amp;"~"&amp;INDEX(등급!$L$5:$L$12,MATCH($D13,등급!$A$5:$A$12,0))&amp;"개")</f>
        <v>-</v>
      </c>
    </row>
    <row r="14" customFormat="false" ht="15" hidden="false" customHeight="false" outlineLevel="0" collapsed="false">
      <c r="A14" s="19" t="str">
        <f aca="false">장비_기본!B6</f>
        <v>맹세의 장검</v>
      </c>
      <c r="B14" s="19" t="str">
        <f aca="false">장비_기본!C6</f>
        <v>무기</v>
      </c>
      <c r="C14" s="19" t="str">
        <f aca="false">장비_기본!D6</f>
        <v>탱커</v>
      </c>
      <c r="D14" s="8" t="s">
        <v>44</v>
      </c>
      <c r="E14" s="19" t="str">
        <f aca="false">장비_기본!F6</f>
        <v>공격력</v>
      </c>
      <c r="F14" s="20" t="n">
        <f aca="false">장비_기본!G6*INDEX(등급!$C$5:$C$12,MATCH($D14,등급!$A$5:$A$12,0))</f>
        <v>3.19</v>
      </c>
      <c r="G14" s="19" t="str">
        <f aca="false">장비_기본!H6</f>
        <v>받는 피해 감소</v>
      </c>
      <c r="H14" s="21" t="n">
        <f aca="false">장비_기본!I6*INDEX(등급!$C$5:$C$12,MATCH($D14,등급!$A$5:$A$12,0))</f>
        <v>0.0087</v>
      </c>
      <c r="I14" s="19" t="str">
        <f aca="false">장비_기본!J6</f>
        <v>① 도발 중 받는 피해 감소 +[값]%p</v>
      </c>
      <c r="J14" s="20" t="n">
        <f aca="false">ROUND(장비_기본!K6*INDEX(등급!$F$5:$F$12,MATCH($D14,등급!$A$5:$A$12,0)),1)</f>
        <v>4.1</v>
      </c>
      <c r="K14" s="19" t="n">
        <f aca="false">INDEX(등급!$D$5:$D$12,MATCH($D14,등급!$A$5:$A$12,0))</f>
        <v>0</v>
      </c>
      <c r="L14" s="19" t="str">
        <f aca="false">IF(INDEX(등급!$H$5:$H$12,MATCH($D14,등급!$A$5:$A$12,0))=0,"-",IF(INDEX(등급!$G$5:$G$12,MATCH($D14,등급!$A$5:$A$12,0))=INDEX(등급!$H$5:$H$12,MATCH($D14,등급!$A$5:$A$12,0)),INDEX(등급!$G$5:$G$12,MATCH($D14,등급!$A$5:$A$12,0))&amp;"칸",INDEX(등급!$G$5:$G$12,MATCH($D14,등급!$A$5:$A$12,0))&amp;"~"&amp;INDEX(등급!$H$5:$H$12,MATCH($D14,등급!$A$5:$A$12,0))&amp;"칸"))</f>
        <v>-</v>
      </c>
      <c r="M14" s="19" t="str">
        <f aca="false">IF(INDEX(등급!$J$5:$J$12,MATCH($D14,등급!$A$5:$A$12,0))=0,"-",IF(INDEX(등급!$I$5:$I$12,MATCH($D14,등급!$A$5:$A$12,0))=INDEX(등급!$J$5:$J$12,MATCH($D14,등급!$A$5:$A$12,0)),INDEX(등급!$I$5:$I$12,MATCH($D14,등급!$A$5:$A$12,0))&amp;"개",INDEX(등급!$I$5:$I$12,MATCH($D14,등급!$A$5:$A$12,0))&amp;"~"&amp;INDEX(등급!$J$5:$J$12,MATCH($D14,등급!$A$5:$A$12,0))&amp;"개"))</f>
        <v>-</v>
      </c>
      <c r="N14" s="19" t="str">
        <f aca="false">IF(INDEX(등급!$L$5:$L$12,MATCH($D14,등급!$A$5:$A$12,0))=0,"-",INDEX(등급!$K$5:$K$12,MATCH($D14,등급!$A$5:$A$12,0))&amp;"~"&amp;INDEX(등급!$L$5:$L$12,MATCH($D14,등급!$A$5:$A$12,0))&amp;"개")</f>
        <v>-</v>
      </c>
    </row>
    <row r="15" customFormat="false" ht="15" hidden="false" customHeight="false" outlineLevel="0" collapsed="false">
      <c r="A15" s="19" t="str">
        <f aca="false">장비_기본!B6</f>
        <v>맹세의 장검</v>
      </c>
      <c r="B15" s="19" t="str">
        <f aca="false">장비_기본!C6</f>
        <v>무기</v>
      </c>
      <c r="C15" s="19" t="str">
        <f aca="false">장비_기본!D6</f>
        <v>탱커</v>
      </c>
      <c r="D15" s="8" t="s">
        <v>45</v>
      </c>
      <c r="E15" s="19" t="str">
        <f aca="false">장비_기본!F6</f>
        <v>공격력</v>
      </c>
      <c r="F15" s="20" t="n">
        <f aca="false">장비_기본!G6*INDEX(등급!$C$5:$C$12,MATCH($D15,등급!$A$5:$A$12,0))</f>
        <v>3.74</v>
      </c>
      <c r="G15" s="19" t="str">
        <f aca="false">장비_기본!H6</f>
        <v>받는 피해 감소</v>
      </c>
      <c r="H15" s="21" t="n">
        <f aca="false">장비_기본!I6*INDEX(등급!$C$5:$C$12,MATCH($D15,등급!$A$5:$A$12,0))</f>
        <v>0.0102</v>
      </c>
      <c r="I15" s="19" t="str">
        <f aca="false">장비_기본!J6</f>
        <v>① 도발 중 받는 피해 감소 +[값]%p</v>
      </c>
      <c r="J15" s="20" t="n">
        <f aca="false">ROUND(장비_기본!K6*INDEX(등급!$F$5:$F$12,MATCH($D15,등급!$A$5:$A$12,0)),1)</f>
        <v>4.5</v>
      </c>
      <c r="K15" s="19" t="n">
        <f aca="false">INDEX(등급!$D$5:$D$12,MATCH($D15,등급!$A$5:$A$12,0))</f>
        <v>1</v>
      </c>
      <c r="L15" s="19" t="str">
        <f aca="false">IF(INDEX(등급!$H$5:$H$12,MATCH($D15,등급!$A$5:$A$12,0))=0,"-",IF(INDEX(등급!$G$5:$G$12,MATCH($D15,등급!$A$5:$A$12,0))=INDEX(등급!$H$5:$H$12,MATCH($D15,등급!$A$5:$A$12,0)),INDEX(등급!$G$5:$G$12,MATCH($D15,등급!$A$5:$A$12,0))&amp;"칸",INDEX(등급!$G$5:$G$12,MATCH($D15,등급!$A$5:$A$12,0))&amp;"~"&amp;INDEX(등급!$H$5:$H$12,MATCH($D15,등급!$A$5:$A$12,0))&amp;"칸"))</f>
        <v>-</v>
      </c>
      <c r="M15" s="19" t="str">
        <f aca="false">IF(INDEX(등급!$J$5:$J$12,MATCH($D15,등급!$A$5:$A$12,0))=0,"-",IF(INDEX(등급!$I$5:$I$12,MATCH($D15,등급!$A$5:$A$12,0))=INDEX(등급!$J$5:$J$12,MATCH($D15,등급!$A$5:$A$12,0)),INDEX(등급!$I$5:$I$12,MATCH($D15,등급!$A$5:$A$12,0))&amp;"개",INDEX(등급!$I$5:$I$12,MATCH($D15,등급!$A$5:$A$12,0))&amp;"~"&amp;INDEX(등급!$J$5:$J$12,MATCH($D15,등급!$A$5:$A$12,0))&amp;"개"))</f>
        <v>-</v>
      </c>
      <c r="N15" s="19" t="str">
        <f aca="false">IF(INDEX(등급!$L$5:$L$12,MATCH($D15,등급!$A$5:$A$12,0))=0,"-",INDEX(등급!$K$5:$K$12,MATCH($D15,등급!$A$5:$A$12,0))&amp;"~"&amp;INDEX(등급!$L$5:$L$12,MATCH($D15,등급!$A$5:$A$12,0))&amp;"개")</f>
        <v>-</v>
      </c>
    </row>
    <row r="16" customFormat="false" ht="15" hidden="false" customHeight="false" outlineLevel="0" collapsed="false">
      <c r="A16" s="19" t="str">
        <f aca="false">장비_기본!B6</f>
        <v>맹세의 장검</v>
      </c>
      <c r="B16" s="19" t="str">
        <f aca="false">장비_기본!C6</f>
        <v>무기</v>
      </c>
      <c r="C16" s="19" t="str">
        <f aca="false">장비_기본!D6</f>
        <v>탱커</v>
      </c>
      <c r="D16" s="8" t="s">
        <v>46</v>
      </c>
      <c r="E16" s="19" t="str">
        <f aca="false">장비_기본!F6</f>
        <v>공격력</v>
      </c>
      <c r="F16" s="20" t="n">
        <f aca="false">장비_기본!G6*INDEX(등급!$C$5:$C$12,MATCH($D16,등급!$A$5:$A$12,0))</f>
        <v>4.62</v>
      </c>
      <c r="G16" s="19" t="str">
        <f aca="false">장비_기본!H6</f>
        <v>받는 피해 감소</v>
      </c>
      <c r="H16" s="21" t="n">
        <f aca="false">장비_기본!I6*INDEX(등급!$C$5:$C$12,MATCH($D16,등급!$A$5:$A$12,0))</f>
        <v>0.0126</v>
      </c>
      <c r="I16" s="19" t="str">
        <f aca="false">장비_기본!J6</f>
        <v>① 도발 중 받는 피해 감소 +[값]%p</v>
      </c>
      <c r="J16" s="20" t="n">
        <f aca="false">ROUND(장비_기본!K6*INDEX(등급!$F$5:$F$12,MATCH($D16,등급!$A$5:$A$12,0)),1)</f>
        <v>5.3</v>
      </c>
      <c r="K16" s="19" t="n">
        <f aca="false">INDEX(등급!$D$5:$D$12,MATCH($D16,등급!$A$5:$A$12,0))</f>
        <v>2</v>
      </c>
      <c r="L16" s="19" t="str">
        <f aca="false">IF(INDEX(등급!$H$5:$H$12,MATCH($D16,등급!$A$5:$A$12,0))=0,"-",IF(INDEX(등급!$G$5:$G$12,MATCH($D16,등급!$A$5:$A$12,0))=INDEX(등급!$H$5:$H$12,MATCH($D16,등급!$A$5:$A$12,0)),INDEX(등급!$G$5:$G$12,MATCH($D16,등급!$A$5:$A$12,0))&amp;"칸",INDEX(등급!$G$5:$G$12,MATCH($D16,등급!$A$5:$A$12,0))&amp;"~"&amp;INDEX(등급!$H$5:$H$12,MATCH($D16,등급!$A$5:$A$12,0))&amp;"칸"))</f>
        <v>-</v>
      </c>
      <c r="M16" s="19" t="str">
        <f aca="false">IF(INDEX(등급!$J$5:$J$12,MATCH($D16,등급!$A$5:$A$12,0))=0,"-",IF(INDEX(등급!$I$5:$I$12,MATCH($D16,등급!$A$5:$A$12,0))=INDEX(등급!$J$5:$J$12,MATCH($D16,등급!$A$5:$A$12,0)),INDEX(등급!$I$5:$I$12,MATCH($D16,등급!$A$5:$A$12,0))&amp;"개",INDEX(등급!$I$5:$I$12,MATCH($D16,등급!$A$5:$A$12,0))&amp;"~"&amp;INDEX(등급!$J$5:$J$12,MATCH($D16,등급!$A$5:$A$12,0))&amp;"개"))</f>
        <v>-</v>
      </c>
      <c r="N16" s="19" t="str">
        <f aca="false">IF(INDEX(등급!$L$5:$L$12,MATCH($D16,등급!$A$5:$A$12,0))=0,"-",INDEX(등급!$K$5:$K$12,MATCH($D16,등급!$A$5:$A$12,0))&amp;"~"&amp;INDEX(등급!$L$5:$L$12,MATCH($D16,등급!$A$5:$A$12,0))&amp;"개")</f>
        <v>-</v>
      </c>
    </row>
    <row r="17" customFormat="false" ht="15" hidden="false" customHeight="false" outlineLevel="0" collapsed="false">
      <c r="A17" s="19" t="str">
        <f aca="false">장비_기본!B6</f>
        <v>맹세의 장검</v>
      </c>
      <c r="B17" s="19" t="str">
        <f aca="false">장비_기본!C6</f>
        <v>무기</v>
      </c>
      <c r="C17" s="19" t="str">
        <f aca="false">장비_기본!D6</f>
        <v>탱커</v>
      </c>
      <c r="D17" s="8" t="s">
        <v>47</v>
      </c>
      <c r="E17" s="19" t="str">
        <f aca="false">장비_기본!F6</f>
        <v>공격력</v>
      </c>
      <c r="F17" s="20" t="n">
        <f aca="false">장비_기본!G6*INDEX(등급!$C$5:$C$12,MATCH($D17,등급!$A$5:$A$12,0))</f>
        <v>5.61</v>
      </c>
      <c r="G17" s="19" t="str">
        <f aca="false">장비_기본!H6</f>
        <v>받는 피해 감소</v>
      </c>
      <c r="H17" s="21" t="n">
        <f aca="false">장비_기본!I6*INDEX(등급!$C$5:$C$12,MATCH($D17,등급!$A$5:$A$12,0))</f>
        <v>0.0153</v>
      </c>
      <c r="I17" s="19" t="str">
        <f aca="false">장비_기본!J6</f>
        <v>① 도발 중 받는 피해 감소 +[값]%p</v>
      </c>
      <c r="J17" s="20" t="n">
        <f aca="false">ROUND(장비_기본!K6*INDEX(등급!$F$5:$F$12,MATCH($D17,등급!$A$5:$A$12,0)),1)</f>
        <v>6</v>
      </c>
      <c r="K17" s="19" t="n">
        <f aca="false">INDEX(등급!$D$5:$D$12,MATCH($D17,등급!$A$5:$A$12,0))</f>
        <v>3</v>
      </c>
      <c r="L17" s="19" t="str">
        <f aca="false">IF(INDEX(등급!$H$5:$H$12,MATCH($D17,등급!$A$5:$A$12,0))=0,"-",IF(INDEX(등급!$G$5:$G$12,MATCH($D17,등급!$A$5:$A$12,0))=INDEX(등급!$H$5:$H$12,MATCH($D17,등급!$A$5:$A$12,0)),INDEX(등급!$G$5:$G$12,MATCH($D17,등급!$A$5:$A$12,0))&amp;"칸",INDEX(등급!$G$5:$G$12,MATCH($D17,등급!$A$5:$A$12,0))&amp;"~"&amp;INDEX(등급!$H$5:$H$12,MATCH($D17,등급!$A$5:$A$12,0))&amp;"칸"))</f>
        <v>-</v>
      </c>
      <c r="M17" s="19" t="str">
        <f aca="false">IF(INDEX(등급!$J$5:$J$12,MATCH($D17,등급!$A$5:$A$12,0))=0,"-",IF(INDEX(등급!$I$5:$I$12,MATCH($D17,등급!$A$5:$A$12,0))=INDEX(등급!$J$5:$J$12,MATCH($D17,등급!$A$5:$A$12,0)),INDEX(등급!$I$5:$I$12,MATCH($D17,등급!$A$5:$A$12,0))&amp;"개",INDEX(등급!$I$5:$I$12,MATCH($D17,등급!$A$5:$A$12,0))&amp;"~"&amp;INDEX(등급!$J$5:$J$12,MATCH($D17,등급!$A$5:$A$12,0))&amp;"개"))</f>
        <v>-</v>
      </c>
      <c r="N17" s="19" t="str">
        <f aca="false">IF(INDEX(등급!$L$5:$L$12,MATCH($D17,등급!$A$5:$A$12,0))=0,"-",INDEX(등급!$K$5:$K$12,MATCH($D17,등급!$A$5:$A$12,0))&amp;"~"&amp;INDEX(등급!$L$5:$L$12,MATCH($D17,등급!$A$5:$A$12,0))&amp;"개")</f>
        <v>-</v>
      </c>
    </row>
    <row r="18" customFormat="false" ht="15" hidden="false" customHeight="false" outlineLevel="0" collapsed="false">
      <c r="A18" s="19" t="str">
        <f aca="false">장비_기본!B6</f>
        <v>맹세의 장검</v>
      </c>
      <c r="B18" s="19" t="str">
        <f aca="false">장비_기본!C6</f>
        <v>무기</v>
      </c>
      <c r="C18" s="19" t="str">
        <f aca="false">장비_기본!D6</f>
        <v>탱커</v>
      </c>
      <c r="D18" s="8" t="s">
        <v>48</v>
      </c>
      <c r="E18" s="19" t="str">
        <f aca="false">장비_기본!F6</f>
        <v>공격력</v>
      </c>
      <c r="F18" s="20" t="n">
        <f aca="false">장비_기본!G6*INDEX(등급!$C$5:$C$12,MATCH($D18,등급!$A$5:$A$12,0))</f>
        <v>6.71</v>
      </c>
      <c r="G18" s="19" t="str">
        <f aca="false">장비_기본!H6</f>
        <v>받는 피해 감소</v>
      </c>
      <c r="H18" s="21" t="n">
        <f aca="false">장비_기본!I6*INDEX(등급!$C$5:$C$12,MATCH($D18,등급!$A$5:$A$12,0))</f>
        <v>0.0183</v>
      </c>
      <c r="I18" s="19" t="str">
        <f aca="false">장비_기본!J6</f>
        <v>① 도발 중 받는 피해 감소 +[값]%p</v>
      </c>
      <c r="J18" s="20" t="n">
        <f aca="false">ROUND(장비_기본!K6*INDEX(등급!$F$5:$F$12,MATCH($D18,등급!$A$5:$A$12,0)),1)</f>
        <v>6.9</v>
      </c>
      <c r="K18" s="19" t="n">
        <f aca="false">INDEX(등급!$D$5:$D$12,MATCH($D18,등급!$A$5:$A$12,0))</f>
        <v>4</v>
      </c>
      <c r="L18" s="19" t="str">
        <f aca="false">IF(INDEX(등급!$H$5:$H$12,MATCH($D18,등급!$A$5:$A$12,0))=0,"-",IF(INDEX(등급!$G$5:$G$12,MATCH($D18,등급!$A$5:$A$12,0))=INDEX(등급!$H$5:$H$12,MATCH($D18,등급!$A$5:$A$12,0)),INDEX(등급!$G$5:$G$12,MATCH($D18,등급!$A$5:$A$12,0))&amp;"칸",INDEX(등급!$G$5:$G$12,MATCH($D18,등급!$A$5:$A$12,0))&amp;"~"&amp;INDEX(등급!$H$5:$H$12,MATCH($D18,등급!$A$5:$A$12,0))&amp;"칸"))</f>
        <v>-</v>
      </c>
      <c r="M18" s="19" t="str">
        <f aca="false">IF(INDEX(등급!$J$5:$J$12,MATCH($D18,등급!$A$5:$A$12,0))=0,"-",IF(INDEX(등급!$I$5:$I$12,MATCH($D18,등급!$A$5:$A$12,0))=INDEX(등급!$J$5:$J$12,MATCH($D18,등급!$A$5:$A$12,0)),INDEX(등급!$I$5:$I$12,MATCH($D18,등급!$A$5:$A$12,0))&amp;"개",INDEX(등급!$I$5:$I$12,MATCH($D18,등급!$A$5:$A$12,0))&amp;"~"&amp;INDEX(등급!$J$5:$J$12,MATCH($D18,등급!$A$5:$A$12,0))&amp;"개"))</f>
        <v>-</v>
      </c>
      <c r="N18" s="19" t="str">
        <f aca="false">IF(INDEX(등급!$L$5:$L$12,MATCH($D18,등급!$A$5:$A$12,0))=0,"-",INDEX(등급!$K$5:$K$12,MATCH($D18,등급!$A$5:$A$12,0))&amp;"~"&amp;INDEX(등급!$L$5:$L$12,MATCH($D18,등급!$A$5:$A$12,0))&amp;"개")</f>
        <v>-</v>
      </c>
    </row>
    <row r="19" customFormat="false" ht="15" hidden="false" customHeight="false" outlineLevel="0" collapsed="false">
      <c r="A19" s="19" t="str">
        <f aca="false">장비_기본!B6</f>
        <v>맹세의 장검</v>
      </c>
      <c r="B19" s="19" t="str">
        <f aca="false">장비_기본!C6</f>
        <v>무기</v>
      </c>
      <c r="C19" s="19" t="str">
        <f aca="false">장비_기본!D6</f>
        <v>탱커</v>
      </c>
      <c r="D19" s="8" t="s">
        <v>49</v>
      </c>
      <c r="E19" s="19" t="str">
        <f aca="false">장비_기본!F6</f>
        <v>공격력</v>
      </c>
      <c r="F19" s="20" t="n">
        <f aca="false">장비_기본!G6*INDEX(등급!$C$5:$C$12,MATCH($D19,등급!$A$5:$A$12,0))</f>
        <v>7.04</v>
      </c>
      <c r="G19" s="19" t="str">
        <f aca="false">장비_기본!H6</f>
        <v>받는 피해 감소</v>
      </c>
      <c r="H19" s="21" t="n">
        <f aca="false">장비_기본!I6*INDEX(등급!$C$5:$C$12,MATCH($D19,등급!$A$5:$A$12,0))</f>
        <v>0.0192</v>
      </c>
      <c r="I19" s="19" t="str">
        <f aca="false">장비_기본!J6</f>
        <v>① 도발 중 받는 피해 감소 +[값]%p</v>
      </c>
      <c r="J19" s="20" t="n">
        <f aca="false">ROUND(장비_기본!K6*INDEX(등급!$F$5:$F$12,MATCH($D19,등급!$A$5:$A$12,0)),1)</f>
        <v>8</v>
      </c>
      <c r="K19" s="19" t="n">
        <f aca="false">INDEX(등급!$D$5:$D$12,MATCH($D19,등급!$A$5:$A$12,0))</f>
        <v>4</v>
      </c>
      <c r="L19" s="19" t="str">
        <f aca="false">IF(INDEX(등급!$H$5:$H$12,MATCH($D19,등급!$A$5:$A$12,0))=0,"-",IF(INDEX(등급!$G$5:$G$12,MATCH($D19,등급!$A$5:$A$12,0))=INDEX(등급!$H$5:$H$12,MATCH($D19,등급!$A$5:$A$12,0)),INDEX(등급!$G$5:$G$12,MATCH($D19,등급!$A$5:$A$12,0))&amp;"칸",INDEX(등급!$G$5:$G$12,MATCH($D19,등급!$A$5:$A$12,0))&amp;"~"&amp;INDEX(등급!$H$5:$H$12,MATCH($D19,등급!$A$5:$A$12,0))&amp;"칸"))</f>
        <v>1칸</v>
      </c>
      <c r="M19" s="19" t="str">
        <f aca="false">IF(INDEX(등급!$J$5:$J$12,MATCH($D19,등급!$A$5:$A$12,0))=0,"-",IF(INDEX(등급!$I$5:$I$12,MATCH($D19,등급!$A$5:$A$12,0))=INDEX(등급!$J$5:$J$12,MATCH($D19,등급!$A$5:$A$12,0)),INDEX(등급!$I$5:$I$12,MATCH($D19,등급!$A$5:$A$12,0))&amp;"개",INDEX(등급!$I$5:$I$12,MATCH($D19,등급!$A$5:$A$12,0))&amp;"~"&amp;INDEX(등급!$J$5:$J$12,MATCH($D19,등급!$A$5:$A$12,0))&amp;"개"))</f>
        <v>0~1개</v>
      </c>
      <c r="N19" s="19" t="str">
        <f aca="false">IF(INDEX(등급!$L$5:$L$12,MATCH($D19,등급!$A$5:$A$12,0))=0,"-",INDEX(등급!$K$5:$K$12,MATCH($D19,등급!$A$5:$A$12,0))&amp;"~"&amp;INDEX(등급!$L$5:$L$12,MATCH($D19,등급!$A$5:$A$12,0))&amp;"개")</f>
        <v>0~1개</v>
      </c>
    </row>
    <row r="20" customFormat="false" ht="15" hidden="false" customHeight="false" outlineLevel="0" collapsed="false">
      <c r="A20" s="19" t="str">
        <f aca="false">장비_기본!B6</f>
        <v>맹세의 장검</v>
      </c>
      <c r="B20" s="19" t="str">
        <f aca="false">장비_기본!C6</f>
        <v>무기</v>
      </c>
      <c r="C20" s="19" t="str">
        <f aca="false">장비_기본!D6</f>
        <v>탱커</v>
      </c>
      <c r="D20" s="8" t="s">
        <v>51</v>
      </c>
      <c r="E20" s="19" t="str">
        <f aca="false">장비_기본!F6</f>
        <v>공격력</v>
      </c>
      <c r="F20" s="20" t="n">
        <f aca="false">장비_기본!G6*INDEX(등급!$C$5:$C$12,MATCH($D20,등급!$A$5:$A$12,0))</f>
        <v>7.26</v>
      </c>
      <c r="G20" s="19" t="str">
        <f aca="false">장비_기본!H6</f>
        <v>받는 피해 감소</v>
      </c>
      <c r="H20" s="21" t="n">
        <f aca="false">장비_기본!I6*INDEX(등급!$C$5:$C$12,MATCH($D20,등급!$A$5:$A$12,0))</f>
        <v>0.0198</v>
      </c>
      <c r="I20" s="19" t="str">
        <f aca="false">장비_기본!J6</f>
        <v>① 도발 중 받는 피해 감소 +[값]%p</v>
      </c>
      <c r="J20" s="20" t="n">
        <f aca="false">ROUND(장비_기본!K6*INDEX(등급!$F$5:$F$12,MATCH($D20,등급!$A$5:$A$12,0)),1)</f>
        <v>9</v>
      </c>
      <c r="K20" s="19" t="n">
        <f aca="false">INDEX(등급!$D$5:$D$12,MATCH($D20,등급!$A$5:$A$12,0))</f>
        <v>4</v>
      </c>
      <c r="L20" s="19" t="str">
        <f aca="false">IF(INDEX(등급!$H$5:$H$12,MATCH($D20,등급!$A$5:$A$12,0))=0,"-",IF(INDEX(등급!$G$5:$G$12,MATCH($D20,등급!$A$5:$A$12,0))=INDEX(등급!$H$5:$H$12,MATCH($D20,등급!$A$5:$A$12,0)),INDEX(등급!$G$5:$G$12,MATCH($D20,등급!$A$5:$A$12,0))&amp;"칸",INDEX(등급!$G$5:$G$12,MATCH($D20,등급!$A$5:$A$12,0))&amp;"~"&amp;INDEX(등급!$H$5:$H$12,MATCH($D20,등급!$A$5:$A$12,0))&amp;"칸"))</f>
        <v>1~3칸</v>
      </c>
      <c r="M20" s="19" t="str">
        <f aca="false">IF(INDEX(등급!$J$5:$J$12,MATCH($D20,등급!$A$5:$A$12,0))=0,"-",IF(INDEX(등급!$I$5:$I$12,MATCH($D20,등급!$A$5:$A$12,0))=INDEX(등급!$J$5:$J$12,MATCH($D20,등급!$A$5:$A$12,0)),INDEX(등급!$I$5:$I$12,MATCH($D20,등급!$A$5:$A$12,0))&amp;"개",INDEX(등급!$I$5:$I$12,MATCH($D20,등급!$A$5:$A$12,0))&amp;"~"&amp;INDEX(등급!$J$5:$J$12,MATCH($D20,등급!$A$5:$A$12,0))&amp;"개"))</f>
        <v>1개</v>
      </c>
      <c r="N20" s="19" t="str">
        <f aca="false">IF(INDEX(등급!$L$5:$L$12,MATCH($D20,등급!$A$5:$A$12,0))=0,"-",INDEX(등급!$K$5:$K$12,MATCH($D20,등급!$A$5:$A$12,0))&amp;"~"&amp;INDEX(등급!$L$5:$L$12,MATCH($D20,등급!$A$5:$A$12,0))&amp;"개")</f>
        <v>0~2개</v>
      </c>
    </row>
    <row r="21" customFormat="false" ht="15" hidden="false" customHeight="false" outlineLevel="0" collapsed="false">
      <c r="A21" s="19" t="str">
        <f aca="false">장비_기본!B7</f>
        <v>성채의 철퇴</v>
      </c>
      <c r="B21" s="19" t="str">
        <f aca="false">장비_기본!C7</f>
        <v>무기</v>
      </c>
      <c r="C21" s="19" t="str">
        <f aca="false">장비_기본!D7</f>
        <v>탱커</v>
      </c>
      <c r="D21" s="8" t="s">
        <v>43</v>
      </c>
      <c r="E21" s="19" t="str">
        <f aca="false">장비_기본!F7</f>
        <v>공격력</v>
      </c>
      <c r="F21" s="20" t="n">
        <f aca="false">장비_기본!G7*INDEX(등급!$C$5:$C$12,MATCH($D21,등급!$A$5:$A$12,0))</f>
        <v>2.2</v>
      </c>
      <c r="G21" s="19" t="str">
        <f aca="false">장비_기본!H7</f>
        <v>받는 피해 감소</v>
      </c>
      <c r="H21" s="21" t="n">
        <f aca="false">장비_기본!I7*INDEX(등급!$C$5:$C$12,MATCH($D21,등급!$A$5:$A$12,0))</f>
        <v>0.006</v>
      </c>
      <c r="I21" s="19" t="str">
        <f aca="false">장비_기본!J7</f>
        <v>평타 적중 시 [값]% 확률로 0.6초 기절</v>
      </c>
      <c r="J21" s="20" t="n">
        <f aca="false">ROUND(장비_기본!K7*INDEX(등급!$F$5:$F$12,MATCH($D21,등급!$A$5:$A$12,0)),1)</f>
        <v>3</v>
      </c>
      <c r="K21" s="19" t="n">
        <f aca="false">INDEX(등급!$D$5:$D$12,MATCH($D21,등급!$A$5:$A$12,0))</f>
        <v>0</v>
      </c>
      <c r="L21" s="19" t="str">
        <f aca="false">IF(INDEX(등급!$H$5:$H$12,MATCH($D21,등급!$A$5:$A$12,0))=0,"-",IF(INDEX(등급!$G$5:$G$12,MATCH($D21,등급!$A$5:$A$12,0))=INDEX(등급!$H$5:$H$12,MATCH($D21,등급!$A$5:$A$12,0)),INDEX(등급!$G$5:$G$12,MATCH($D21,등급!$A$5:$A$12,0))&amp;"칸",INDEX(등급!$G$5:$G$12,MATCH($D21,등급!$A$5:$A$12,0))&amp;"~"&amp;INDEX(등급!$H$5:$H$12,MATCH($D21,등급!$A$5:$A$12,0))&amp;"칸"))</f>
        <v>-</v>
      </c>
      <c r="M21" s="19" t="str">
        <f aca="false">IF(INDEX(등급!$J$5:$J$12,MATCH($D21,등급!$A$5:$A$12,0))=0,"-",IF(INDEX(등급!$I$5:$I$12,MATCH($D21,등급!$A$5:$A$12,0))=INDEX(등급!$J$5:$J$12,MATCH($D21,등급!$A$5:$A$12,0)),INDEX(등급!$I$5:$I$12,MATCH($D21,등급!$A$5:$A$12,0))&amp;"개",INDEX(등급!$I$5:$I$12,MATCH($D21,등급!$A$5:$A$12,0))&amp;"~"&amp;INDEX(등급!$J$5:$J$12,MATCH($D21,등급!$A$5:$A$12,0))&amp;"개"))</f>
        <v>-</v>
      </c>
      <c r="N21" s="19" t="str">
        <f aca="false">IF(INDEX(등급!$L$5:$L$12,MATCH($D21,등급!$A$5:$A$12,0))=0,"-",INDEX(등급!$K$5:$K$12,MATCH($D21,등급!$A$5:$A$12,0))&amp;"~"&amp;INDEX(등급!$L$5:$L$12,MATCH($D21,등급!$A$5:$A$12,0))&amp;"개")</f>
        <v>-</v>
      </c>
    </row>
    <row r="22" customFormat="false" ht="15" hidden="false" customHeight="false" outlineLevel="0" collapsed="false">
      <c r="A22" s="19" t="str">
        <f aca="false">장비_기본!B7</f>
        <v>성채의 철퇴</v>
      </c>
      <c r="B22" s="19" t="str">
        <f aca="false">장비_기본!C7</f>
        <v>무기</v>
      </c>
      <c r="C22" s="19" t="str">
        <f aca="false">장비_기본!D7</f>
        <v>탱커</v>
      </c>
      <c r="D22" s="8" t="s">
        <v>44</v>
      </c>
      <c r="E22" s="19" t="str">
        <f aca="false">장비_기본!F7</f>
        <v>공격력</v>
      </c>
      <c r="F22" s="20" t="n">
        <f aca="false">장비_기본!G7*INDEX(등급!$C$5:$C$12,MATCH($D22,등급!$A$5:$A$12,0))</f>
        <v>3.19</v>
      </c>
      <c r="G22" s="19" t="str">
        <f aca="false">장비_기본!H7</f>
        <v>받는 피해 감소</v>
      </c>
      <c r="H22" s="21" t="n">
        <f aca="false">장비_기본!I7*INDEX(등급!$C$5:$C$12,MATCH($D22,등급!$A$5:$A$12,0))</f>
        <v>0.0087</v>
      </c>
      <c r="I22" s="19" t="str">
        <f aca="false">장비_기본!J7</f>
        <v>평타 적중 시 [값]% 확률로 0.6초 기절</v>
      </c>
      <c r="J22" s="20" t="n">
        <f aca="false">ROUND(장비_기본!K7*INDEX(등급!$F$5:$F$12,MATCH($D22,등급!$A$5:$A$12,0)),1)</f>
        <v>4.1</v>
      </c>
      <c r="K22" s="19" t="n">
        <f aca="false">INDEX(등급!$D$5:$D$12,MATCH($D22,등급!$A$5:$A$12,0))</f>
        <v>0</v>
      </c>
      <c r="L22" s="19" t="str">
        <f aca="false">IF(INDEX(등급!$H$5:$H$12,MATCH($D22,등급!$A$5:$A$12,0))=0,"-",IF(INDEX(등급!$G$5:$G$12,MATCH($D22,등급!$A$5:$A$12,0))=INDEX(등급!$H$5:$H$12,MATCH($D22,등급!$A$5:$A$12,0)),INDEX(등급!$G$5:$G$12,MATCH($D22,등급!$A$5:$A$12,0))&amp;"칸",INDEX(등급!$G$5:$G$12,MATCH($D22,등급!$A$5:$A$12,0))&amp;"~"&amp;INDEX(등급!$H$5:$H$12,MATCH($D22,등급!$A$5:$A$12,0))&amp;"칸"))</f>
        <v>-</v>
      </c>
      <c r="M22" s="19" t="str">
        <f aca="false">IF(INDEX(등급!$J$5:$J$12,MATCH($D22,등급!$A$5:$A$12,0))=0,"-",IF(INDEX(등급!$I$5:$I$12,MATCH($D22,등급!$A$5:$A$12,0))=INDEX(등급!$J$5:$J$12,MATCH($D22,등급!$A$5:$A$12,0)),INDEX(등급!$I$5:$I$12,MATCH($D22,등급!$A$5:$A$12,0))&amp;"개",INDEX(등급!$I$5:$I$12,MATCH($D22,등급!$A$5:$A$12,0))&amp;"~"&amp;INDEX(등급!$J$5:$J$12,MATCH($D22,등급!$A$5:$A$12,0))&amp;"개"))</f>
        <v>-</v>
      </c>
      <c r="N22" s="19" t="str">
        <f aca="false">IF(INDEX(등급!$L$5:$L$12,MATCH($D22,등급!$A$5:$A$12,0))=0,"-",INDEX(등급!$K$5:$K$12,MATCH($D22,등급!$A$5:$A$12,0))&amp;"~"&amp;INDEX(등급!$L$5:$L$12,MATCH($D22,등급!$A$5:$A$12,0))&amp;"개")</f>
        <v>-</v>
      </c>
    </row>
    <row r="23" customFormat="false" ht="15" hidden="false" customHeight="false" outlineLevel="0" collapsed="false">
      <c r="A23" s="19" t="str">
        <f aca="false">장비_기본!B7</f>
        <v>성채의 철퇴</v>
      </c>
      <c r="B23" s="19" t="str">
        <f aca="false">장비_기본!C7</f>
        <v>무기</v>
      </c>
      <c r="C23" s="19" t="str">
        <f aca="false">장비_기본!D7</f>
        <v>탱커</v>
      </c>
      <c r="D23" s="8" t="s">
        <v>45</v>
      </c>
      <c r="E23" s="19" t="str">
        <f aca="false">장비_기본!F7</f>
        <v>공격력</v>
      </c>
      <c r="F23" s="20" t="n">
        <f aca="false">장비_기본!G7*INDEX(등급!$C$5:$C$12,MATCH($D23,등급!$A$5:$A$12,0))</f>
        <v>3.74</v>
      </c>
      <c r="G23" s="19" t="str">
        <f aca="false">장비_기본!H7</f>
        <v>받는 피해 감소</v>
      </c>
      <c r="H23" s="21" t="n">
        <f aca="false">장비_기본!I7*INDEX(등급!$C$5:$C$12,MATCH($D23,등급!$A$5:$A$12,0))</f>
        <v>0.0102</v>
      </c>
      <c r="I23" s="19" t="str">
        <f aca="false">장비_기본!J7</f>
        <v>평타 적중 시 [값]% 확률로 0.6초 기절</v>
      </c>
      <c r="J23" s="20" t="n">
        <f aca="false">ROUND(장비_기본!K7*INDEX(등급!$F$5:$F$12,MATCH($D23,등급!$A$5:$A$12,0)),1)</f>
        <v>4.5</v>
      </c>
      <c r="K23" s="19" t="n">
        <f aca="false">INDEX(등급!$D$5:$D$12,MATCH($D23,등급!$A$5:$A$12,0))</f>
        <v>1</v>
      </c>
      <c r="L23" s="19" t="str">
        <f aca="false">IF(INDEX(등급!$H$5:$H$12,MATCH($D23,등급!$A$5:$A$12,0))=0,"-",IF(INDEX(등급!$G$5:$G$12,MATCH($D23,등급!$A$5:$A$12,0))=INDEX(등급!$H$5:$H$12,MATCH($D23,등급!$A$5:$A$12,0)),INDEX(등급!$G$5:$G$12,MATCH($D23,등급!$A$5:$A$12,0))&amp;"칸",INDEX(등급!$G$5:$G$12,MATCH($D23,등급!$A$5:$A$12,0))&amp;"~"&amp;INDEX(등급!$H$5:$H$12,MATCH($D23,등급!$A$5:$A$12,0))&amp;"칸"))</f>
        <v>-</v>
      </c>
      <c r="M23" s="19" t="str">
        <f aca="false">IF(INDEX(등급!$J$5:$J$12,MATCH($D23,등급!$A$5:$A$12,0))=0,"-",IF(INDEX(등급!$I$5:$I$12,MATCH($D23,등급!$A$5:$A$12,0))=INDEX(등급!$J$5:$J$12,MATCH($D23,등급!$A$5:$A$12,0)),INDEX(등급!$I$5:$I$12,MATCH($D23,등급!$A$5:$A$12,0))&amp;"개",INDEX(등급!$I$5:$I$12,MATCH($D23,등급!$A$5:$A$12,0))&amp;"~"&amp;INDEX(등급!$J$5:$J$12,MATCH($D23,등급!$A$5:$A$12,0))&amp;"개"))</f>
        <v>-</v>
      </c>
      <c r="N23" s="19" t="str">
        <f aca="false">IF(INDEX(등급!$L$5:$L$12,MATCH($D23,등급!$A$5:$A$12,0))=0,"-",INDEX(등급!$K$5:$K$12,MATCH($D23,등급!$A$5:$A$12,0))&amp;"~"&amp;INDEX(등급!$L$5:$L$12,MATCH($D23,등급!$A$5:$A$12,0))&amp;"개")</f>
        <v>-</v>
      </c>
    </row>
    <row r="24" customFormat="false" ht="15" hidden="false" customHeight="false" outlineLevel="0" collapsed="false">
      <c r="A24" s="19" t="str">
        <f aca="false">장비_기본!B7</f>
        <v>성채의 철퇴</v>
      </c>
      <c r="B24" s="19" t="str">
        <f aca="false">장비_기본!C7</f>
        <v>무기</v>
      </c>
      <c r="C24" s="19" t="str">
        <f aca="false">장비_기본!D7</f>
        <v>탱커</v>
      </c>
      <c r="D24" s="8" t="s">
        <v>46</v>
      </c>
      <c r="E24" s="19" t="str">
        <f aca="false">장비_기본!F7</f>
        <v>공격력</v>
      </c>
      <c r="F24" s="20" t="n">
        <f aca="false">장비_기본!G7*INDEX(등급!$C$5:$C$12,MATCH($D24,등급!$A$5:$A$12,0))</f>
        <v>4.62</v>
      </c>
      <c r="G24" s="19" t="str">
        <f aca="false">장비_기본!H7</f>
        <v>받는 피해 감소</v>
      </c>
      <c r="H24" s="21" t="n">
        <f aca="false">장비_기본!I7*INDEX(등급!$C$5:$C$12,MATCH($D24,등급!$A$5:$A$12,0))</f>
        <v>0.0126</v>
      </c>
      <c r="I24" s="19" t="str">
        <f aca="false">장비_기본!J7</f>
        <v>평타 적중 시 [값]% 확률로 0.6초 기절</v>
      </c>
      <c r="J24" s="20" t="n">
        <f aca="false">ROUND(장비_기본!K7*INDEX(등급!$F$5:$F$12,MATCH($D24,등급!$A$5:$A$12,0)),1)</f>
        <v>5.3</v>
      </c>
      <c r="K24" s="19" t="n">
        <f aca="false">INDEX(등급!$D$5:$D$12,MATCH($D24,등급!$A$5:$A$12,0))</f>
        <v>2</v>
      </c>
      <c r="L24" s="19" t="str">
        <f aca="false">IF(INDEX(등급!$H$5:$H$12,MATCH($D24,등급!$A$5:$A$12,0))=0,"-",IF(INDEX(등급!$G$5:$G$12,MATCH($D24,등급!$A$5:$A$12,0))=INDEX(등급!$H$5:$H$12,MATCH($D24,등급!$A$5:$A$12,0)),INDEX(등급!$G$5:$G$12,MATCH($D24,등급!$A$5:$A$12,0))&amp;"칸",INDEX(등급!$G$5:$G$12,MATCH($D24,등급!$A$5:$A$12,0))&amp;"~"&amp;INDEX(등급!$H$5:$H$12,MATCH($D24,등급!$A$5:$A$12,0))&amp;"칸"))</f>
        <v>-</v>
      </c>
      <c r="M24" s="19" t="str">
        <f aca="false">IF(INDEX(등급!$J$5:$J$12,MATCH($D24,등급!$A$5:$A$12,0))=0,"-",IF(INDEX(등급!$I$5:$I$12,MATCH($D24,등급!$A$5:$A$12,0))=INDEX(등급!$J$5:$J$12,MATCH($D24,등급!$A$5:$A$12,0)),INDEX(등급!$I$5:$I$12,MATCH($D24,등급!$A$5:$A$12,0))&amp;"개",INDEX(등급!$I$5:$I$12,MATCH($D24,등급!$A$5:$A$12,0))&amp;"~"&amp;INDEX(등급!$J$5:$J$12,MATCH($D24,등급!$A$5:$A$12,0))&amp;"개"))</f>
        <v>-</v>
      </c>
      <c r="N24" s="19" t="str">
        <f aca="false">IF(INDEX(등급!$L$5:$L$12,MATCH($D24,등급!$A$5:$A$12,0))=0,"-",INDEX(등급!$K$5:$K$12,MATCH($D24,등급!$A$5:$A$12,0))&amp;"~"&amp;INDEX(등급!$L$5:$L$12,MATCH($D24,등급!$A$5:$A$12,0))&amp;"개")</f>
        <v>-</v>
      </c>
    </row>
    <row r="25" customFormat="false" ht="15" hidden="false" customHeight="false" outlineLevel="0" collapsed="false">
      <c r="A25" s="19" t="str">
        <f aca="false">장비_기본!B7</f>
        <v>성채의 철퇴</v>
      </c>
      <c r="B25" s="19" t="str">
        <f aca="false">장비_기본!C7</f>
        <v>무기</v>
      </c>
      <c r="C25" s="19" t="str">
        <f aca="false">장비_기본!D7</f>
        <v>탱커</v>
      </c>
      <c r="D25" s="8" t="s">
        <v>47</v>
      </c>
      <c r="E25" s="19" t="str">
        <f aca="false">장비_기본!F7</f>
        <v>공격력</v>
      </c>
      <c r="F25" s="20" t="n">
        <f aca="false">장비_기본!G7*INDEX(등급!$C$5:$C$12,MATCH($D25,등급!$A$5:$A$12,0))</f>
        <v>5.61</v>
      </c>
      <c r="G25" s="19" t="str">
        <f aca="false">장비_기본!H7</f>
        <v>받는 피해 감소</v>
      </c>
      <c r="H25" s="21" t="n">
        <f aca="false">장비_기본!I7*INDEX(등급!$C$5:$C$12,MATCH($D25,등급!$A$5:$A$12,0))</f>
        <v>0.0153</v>
      </c>
      <c r="I25" s="19" t="str">
        <f aca="false">장비_기본!J7</f>
        <v>평타 적중 시 [값]% 확률로 0.6초 기절</v>
      </c>
      <c r="J25" s="20" t="n">
        <f aca="false">ROUND(장비_기본!K7*INDEX(등급!$F$5:$F$12,MATCH($D25,등급!$A$5:$A$12,0)),1)</f>
        <v>6</v>
      </c>
      <c r="K25" s="19" t="n">
        <f aca="false">INDEX(등급!$D$5:$D$12,MATCH($D25,등급!$A$5:$A$12,0))</f>
        <v>3</v>
      </c>
      <c r="L25" s="19" t="str">
        <f aca="false">IF(INDEX(등급!$H$5:$H$12,MATCH($D25,등급!$A$5:$A$12,0))=0,"-",IF(INDEX(등급!$G$5:$G$12,MATCH($D25,등급!$A$5:$A$12,0))=INDEX(등급!$H$5:$H$12,MATCH($D25,등급!$A$5:$A$12,0)),INDEX(등급!$G$5:$G$12,MATCH($D25,등급!$A$5:$A$12,0))&amp;"칸",INDEX(등급!$G$5:$G$12,MATCH($D25,등급!$A$5:$A$12,0))&amp;"~"&amp;INDEX(등급!$H$5:$H$12,MATCH($D25,등급!$A$5:$A$12,0))&amp;"칸"))</f>
        <v>-</v>
      </c>
      <c r="M25" s="19" t="str">
        <f aca="false">IF(INDEX(등급!$J$5:$J$12,MATCH($D25,등급!$A$5:$A$12,0))=0,"-",IF(INDEX(등급!$I$5:$I$12,MATCH($D25,등급!$A$5:$A$12,0))=INDEX(등급!$J$5:$J$12,MATCH($D25,등급!$A$5:$A$12,0)),INDEX(등급!$I$5:$I$12,MATCH($D25,등급!$A$5:$A$12,0))&amp;"개",INDEX(등급!$I$5:$I$12,MATCH($D25,등급!$A$5:$A$12,0))&amp;"~"&amp;INDEX(등급!$J$5:$J$12,MATCH($D25,등급!$A$5:$A$12,0))&amp;"개"))</f>
        <v>-</v>
      </c>
      <c r="N25" s="19" t="str">
        <f aca="false">IF(INDEX(등급!$L$5:$L$12,MATCH($D25,등급!$A$5:$A$12,0))=0,"-",INDEX(등급!$K$5:$K$12,MATCH($D25,등급!$A$5:$A$12,0))&amp;"~"&amp;INDEX(등급!$L$5:$L$12,MATCH($D25,등급!$A$5:$A$12,0))&amp;"개")</f>
        <v>-</v>
      </c>
    </row>
    <row r="26" customFormat="false" ht="15" hidden="false" customHeight="false" outlineLevel="0" collapsed="false">
      <c r="A26" s="19" t="str">
        <f aca="false">장비_기본!B7</f>
        <v>성채의 철퇴</v>
      </c>
      <c r="B26" s="19" t="str">
        <f aca="false">장비_기본!C7</f>
        <v>무기</v>
      </c>
      <c r="C26" s="19" t="str">
        <f aca="false">장비_기본!D7</f>
        <v>탱커</v>
      </c>
      <c r="D26" s="8" t="s">
        <v>48</v>
      </c>
      <c r="E26" s="19" t="str">
        <f aca="false">장비_기본!F7</f>
        <v>공격력</v>
      </c>
      <c r="F26" s="20" t="n">
        <f aca="false">장비_기본!G7*INDEX(등급!$C$5:$C$12,MATCH($D26,등급!$A$5:$A$12,0))</f>
        <v>6.71</v>
      </c>
      <c r="G26" s="19" t="str">
        <f aca="false">장비_기본!H7</f>
        <v>받는 피해 감소</v>
      </c>
      <c r="H26" s="21" t="n">
        <f aca="false">장비_기본!I7*INDEX(등급!$C$5:$C$12,MATCH($D26,등급!$A$5:$A$12,0))</f>
        <v>0.0183</v>
      </c>
      <c r="I26" s="19" t="str">
        <f aca="false">장비_기본!J7</f>
        <v>평타 적중 시 [값]% 확률로 0.6초 기절</v>
      </c>
      <c r="J26" s="20" t="n">
        <f aca="false">ROUND(장비_기본!K7*INDEX(등급!$F$5:$F$12,MATCH($D26,등급!$A$5:$A$12,0)),1)</f>
        <v>6.9</v>
      </c>
      <c r="K26" s="19" t="n">
        <f aca="false">INDEX(등급!$D$5:$D$12,MATCH($D26,등급!$A$5:$A$12,0))</f>
        <v>4</v>
      </c>
      <c r="L26" s="19" t="str">
        <f aca="false">IF(INDEX(등급!$H$5:$H$12,MATCH($D26,등급!$A$5:$A$12,0))=0,"-",IF(INDEX(등급!$G$5:$G$12,MATCH($D26,등급!$A$5:$A$12,0))=INDEX(등급!$H$5:$H$12,MATCH($D26,등급!$A$5:$A$12,0)),INDEX(등급!$G$5:$G$12,MATCH($D26,등급!$A$5:$A$12,0))&amp;"칸",INDEX(등급!$G$5:$G$12,MATCH($D26,등급!$A$5:$A$12,0))&amp;"~"&amp;INDEX(등급!$H$5:$H$12,MATCH($D26,등급!$A$5:$A$12,0))&amp;"칸"))</f>
        <v>-</v>
      </c>
      <c r="M26" s="19" t="str">
        <f aca="false">IF(INDEX(등급!$J$5:$J$12,MATCH($D26,등급!$A$5:$A$12,0))=0,"-",IF(INDEX(등급!$I$5:$I$12,MATCH($D26,등급!$A$5:$A$12,0))=INDEX(등급!$J$5:$J$12,MATCH($D26,등급!$A$5:$A$12,0)),INDEX(등급!$I$5:$I$12,MATCH($D26,등급!$A$5:$A$12,0))&amp;"개",INDEX(등급!$I$5:$I$12,MATCH($D26,등급!$A$5:$A$12,0))&amp;"~"&amp;INDEX(등급!$J$5:$J$12,MATCH($D26,등급!$A$5:$A$12,0))&amp;"개"))</f>
        <v>-</v>
      </c>
      <c r="N26" s="19" t="str">
        <f aca="false">IF(INDEX(등급!$L$5:$L$12,MATCH($D26,등급!$A$5:$A$12,0))=0,"-",INDEX(등급!$K$5:$K$12,MATCH($D26,등급!$A$5:$A$12,0))&amp;"~"&amp;INDEX(등급!$L$5:$L$12,MATCH($D26,등급!$A$5:$A$12,0))&amp;"개")</f>
        <v>-</v>
      </c>
    </row>
    <row r="27" customFormat="false" ht="15" hidden="false" customHeight="false" outlineLevel="0" collapsed="false">
      <c r="A27" s="19" t="str">
        <f aca="false">장비_기본!B7</f>
        <v>성채의 철퇴</v>
      </c>
      <c r="B27" s="19" t="str">
        <f aca="false">장비_기본!C7</f>
        <v>무기</v>
      </c>
      <c r="C27" s="19" t="str">
        <f aca="false">장비_기본!D7</f>
        <v>탱커</v>
      </c>
      <c r="D27" s="8" t="s">
        <v>49</v>
      </c>
      <c r="E27" s="19" t="str">
        <f aca="false">장비_기본!F7</f>
        <v>공격력</v>
      </c>
      <c r="F27" s="20" t="n">
        <f aca="false">장비_기본!G7*INDEX(등급!$C$5:$C$12,MATCH($D27,등급!$A$5:$A$12,0))</f>
        <v>7.04</v>
      </c>
      <c r="G27" s="19" t="str">
        <f aca="false">장비_기본!H7</f>
        <v>받는 피해 감소</v>
      </c>
      <c r="H27" s="21" t="n">
        <f aca="false">장비_기본!I7*INDEX(등급!$C$5:$C$12,MATCH($D27,등급!$A$5:$A$12,0))</f>
        <v>0.0192</v>
      </c>
      <c r="I27" s="19" t="str">
        <f aca="false">장비_기본!J7</f>
        <v>평타 적중 시 [값]% 확률로 0.6초 기절</v>
      </c>
      <c r="J27" s="20" t="n">
        <f aca="false">ROUND(장비_기본!K7*INDEX(등급!$F$5:$F$12,MATCH($D27,등급!$A$5:$A$12,0)),1)</f>
        <v>8</v>
      </c>
      <c r="K27" s="19" t="n">
        <f aca="false">INDEX(등급!$D$5:$D$12,MATCH($D27,등급!$A$5:$A$12,0))</f>
        <v>4</v>
      </c>
      <c r="L27" s="19" t="str">
        <f aca="false">IF(INDEX(등급!$H$5:$H$12,MATCH($D27,등급!$A$5:$A$12,0))=0,"-",IF(INDEX(등급!$G$5:$G$12,MATCH($D27,등급!$A$5:$A$12,0))=INDEX(등급!$H$5:$H$12,MATCH($D27,등급!$A$5:$A$12,0)),INDEX(등급!$G$5:$G$12,MATCH($D27,등급!$A$5:$A$12,0))&amp;"칸",INDEX(등급!$G$5:$G$12,MATCH($D27,등급!$A$5:$A$12,0))&amp;"~"&amp;INDEX(등급!$H$5:$H$12,MATCH($D27,등급!$A$5:$A$12,0))&amp;"칸"))</f>
        <v>1칸</v>
      </c>
      <c r="M27" s="19" t="str">
        <f aca="false">IF(INDEX(등급!$J$5:$J$12,MATCH($D27,등급!$A$5:$A$12,0))=0,"-",IF(INDEX(등급!$I$5:$I$12,MATCH($D27,등급!$A$5:$A$12,0))=INDEX(등급!$J$5:$J$12,MATCH($D27,등급!$A$5:$A$12,0)),INDEX(등급!$I$5:$I$12,MATCH($D27,등급!$A$5:$A$12,0))&amp;"개",INDEX(등급!$I$5:$I$12,MATCH($D27,등급!$A$5:$A$12,0))&amp;"~"&amp;INDEX(등급!$J$5:$J$12,MATCH($D27,등급!$A$5:$A$12,0))&amp;"개"))</f>
        <v>0~1개</v>
      </c>
      <c r="N27" s="19" t="str">
        <f aca="false">IF(INDEX(등급!$L$5:$L$12,MATCH($D27,등급!$A$5:$A$12,0))=0,"-",INDEX(등급!$K$5:$K$12,MATCH($D27,등급!$A$5:$A$12,0))&amp;"~"&amp;INDEX(등급!$L$5:$L$12,MATCH($D27,등급!$A$5:$A$12,0))&amp;"개")</f>
        <v>0~1개</v>
      </c>
    </row>
    <row r="28" customFormat="false" ht="15" hidden="false" customHeight="false" outlineLevel="0" collapsed="false">
      <c r="A28" s="19" t="str">
        <f aca="false">장비_기본!B7</f>
        <v>성채의 철퇴</v>
      </c>
      <c r="B28" s="19" t="str">
        <f aca="false">장비_기본!C7</f>
        <v>무기</v>
      </c>
      <c r="C28" s="19" t="str">
        <f aca="false">장비_기본!D7</f>
        <v>탱커</v>
      </c>
      <c r="D28" s="8" t="s">
        <v>51</v>
      </c>
      <c r="E28" s="19" t="str">
        <f aca="false">장비_기본!F7</f>
        <v>공격력</v>
      </c>
      <c r="F28" s="20" t="n">
        <f aca="false">장비_기본!G7*INDEX(등급!$C$5:$C$12,MATCH($D28,등급!$A$5:$A$12,0))</f>
        <v>7.26</v>
      </c>
      <c r="G28" s="19" t="str">
        <f aca="false">장비_기본!H7</f>
        <v>받는 피해 감소</v>
      </c>
      <c r="H28" s="21" t="n">
        <f aca="false">장비_기본!I7*INDEX(등급!$C$5:$C$12,MATCH($D28,등급!$A$5:$A$12,0))</f>
        <v>0.0198</v>
      </c>
      <c r="I28" s="19" t="str">
        <f aca="false">장비_기본!J7</f>
        <v>평타 적중 시 [값]% 확률로 0.6초 기절</v>
      </c>
      <c r="J28" s="20" t="n">
        <f aca="false">ROUND(장비_기본!K7*INDEX(등급!$F$5:$F$12,MATCH($D28,등급!$A$5:$A$12,0)),1)</f>
        <v>9</v>
      </c>
      <c r="K28" s="19" t="n">
        <f aca="false">INDEX(등급!$D$5:$D$12,MATCH($D28,등급!$A$5:$A$12,0))</f>
        <v>4</v>
      </c>
      <c r="L28" s="19" t="str">
        <f aca="false">IF(INDEX(등급!$H$5:$H$12,MATCH($D28,등급!$A$5:$A$12,0))=0,"-",IF(INDEX(등급!$G$5:$G$12,MATCH($D28,등급!$A$5:$A$12,0))=INDEX(등급!$H$5:$H$12,MATCH($D28,등급!$A$5:$A$12,0)),INDEX(등급!$G$5:$G$12,MATCH($D28,등급!$A$5:$A$12,0))&amp;"칸",INDEX(등급!$G$5:$G$12,MATCH($D28,등급!$A$5:$A$12,0))&amp;"~"&amp;INDEX(등급!$H$5:$H$12,MATCH($D28,등급!$A$5:$A$12,0))&amp;"칸"))</f>
        <v>1~3칸</v>
      </c>
      <c r="M28" s="19" t="str">
        <f aca="false">IF(INDEX(등급!$J$5:$J$12,MATCH($D28,등급!$A$5:$A$12,0))=0,"-",IF(INDEX(등급!$I$5:$I$12,MATCH($D28,등급!$A$5:$A$12,0))=INDEX(등급!$J$5:$J$12,MATCH($D28,등급!$A$5:$A$12,0)),INDEX(등급!$I$5:$I$12,MATCH($D28,등급!$A$5:$A$12,0))&amp;"개",INDEX(등급!$I$5:$I$12,MATCH($D28,등급!$A$5:$A$12,0))&amp;"~"&amp;INDEX(등급!$J$5:$J$12,MATCH($D28,등급!$A$5:$A$12,0))&amp;"개"))</f>
        <v>1개</v>
      </c>
      <c r="N28" s="19" t="str">
        <f aca="false">IF(INDEX(등급!$L$5:$L$12,MATCH($D28,등급!$A$5:$A$12,0))=0,"-",INDEX(등급!$K$5:$K$12,MATCH($D28,등급!$A$5:$A$12,0))&amp;"~"&amp;INDEX(등급!$L$5:$L$12,MATCH($D28,등급!$A$5:$A$12,0))&amp;"개")</f>
        <v>0~2개</v>
      </c>
    </row>
    <row r="29" customFormat="false" ht="15" hidden="false" customHeight="false" outlineLevel="0" collapsed="false">
      <c r="A29" s="19" t="str">
        <f aca="false">장비_기본!B8</f>
        <v>성벽 판금갑</v>
      </c>
      <c r="B29" s="19" t="str">
        <f aca="false">장비_기본!C8</f>
        <v>갑옷</v>
      </c>
      <c r="C29" s="19" t="str">
        <f aca="false">장비_기본!D8</f>
        <v>탱커</v>
      </c>
      <c r="D29" s="8" t="s">
        <v>43</v>
      </c>
      <c r="E29" s="19" t="str">
        <f aca="false">장비_기본!F8</f>
        <v>체력</v>
      </c>
      <c r="F29" s="20" t="n">
        <f aca="false">장비_기본!G8*INDEX(등급!$C$5:$C$12,MATCH($D29,등급!$A$5:$A$12,0))</f>
        <v>52</v>
      </c>
      <c r="G29" s="19" t="str">
        <f aca="false">장비_기본!H8</f>
        <v>받는 피해 감소</v>
      </c>
      <c r="H29" s="21" t="n">
        <f aca="false">장비_기본!I8*INDEX(등급!$C$5:$C$12,MATCH($D29,등급!$A$5:$A$12,0))</f>
        <v>0.006</v>
      </c>
      <c r="I29" s="19" t="str">
        <f aca="false">장비_기본!J8</f>
        <v>차지 공격 피해 -[값]%</v>
      </c>
      <c r="J29" s="20" t="n">
        <f aca="false">ROUND(장비_기본!K8*INDEX(등급!$F$5:$F$12,MATCH($D29,등급!$A$5:$A$12,0)),1)</f>
        <v>6</v>
      </c>
      <c r="K29" s="19" t="n">
        <f aca="false">INDEX(등급!$D$5:$D$12,MATCH($D29,등급!$A$5:$A$12,0))</f>
        <v>0</v>
      </c>
      <c r="L29" s="19" t="str">
        <f aca="false">IF(INDEX(등급!$H$5:$H$12,MATCH($D29,등급!$A$5:$A$12,0))=0,"-",IF(INDEX(등급!$G$5:$G$12,MATCH($D29,등급!$A$5:$A$12,0))=INDEX(등급!$H$5:$H$12,MATCH($D29,등급!$A$5:$A$12,0)),INDEX(등급!$G$5:$G$12,MATCH($D29,등급!$A$5:$A$12,0))&amp;"칸",INDEX(등급!$G$5:$G$12,MATCH($D29,등급!$A$5:$A$12,0))&amp;"~"&amp;INDEX(등급!$H$5:$H$12,MATCH($D29,등급!$A$5:$A$12,0))&amp;"칸"))</f>
        <v>-</v>
      </c>
      <c r="M29" s="19" t="str">
        <f aca="false">IF(INDEX(등급!$J$5:$J$12,MATCH($D29,등급!$A$5:$A$12,0))=0,"-",IF(INDEX(등급!$I$5:$I$12,MATCH($D29,등급!$A$5:$A$12,0))=INDEX(등급!$J$5:$J$12,MATCH($D29,등급!$A$5:$A$12,0)),INDEX(등급!$I$5:$I$12,MATCH($D29,등급!$A$5:$A$12,0))&amp;"개",INDEX(등급!$I$5:$I$12,MATCH($D29,등급!$A$5:$A$12,0))&amp;"~"&amp;INDEX(등급!$J$5:$J$12,MATCH($D29,등급!$A$5:$A$12,0))&amp;"개"))</f>
        <v>-</v>
      </c>
      <c r="N29" s="19" t="str">
        <f aca="false">IF(INDEX(등급!$L$5:$L$12,MATCH($D29,등급!$A$5:$A$12,0))=0,"-",INDEX(등급!$K$5:$K$12,MATCH($D29,등급!$A$5:$A$12,0))&amp;"~"&amp;INDEX(등급!$L$5:$L$12,MATCH($D29,등급!$A$5:$A$12,0))&amp;"개")</f>
        <v>-</v>
      </c>
    </row>
    <row r="30" customFormat="false" ht="15" hidden="false" customHeight="false" outlineLevel="0" collapsed="false">
      <c r="A30" s="19" t="str">
        <f aca="false">장비_기본!B8</f>
        <v>성벽 판금갑</v>
      </c>
      <c r="B30" s="19" t="str">
        <f aca="false">장비_기본!C8</f>
        <v>갑옷</v>
      </c>
      <c r="C30" s="19" t="str">
        <f aca="false">장비_기본!D8</f>
        <v>탱커</v>
      </c>
      <c r="D30" s="8" t="s">
        <v>44</v>
      </c>
      <c r="E30" s="19" t="str">
        <f aca="false">장비_기본!F8</f>
        <v>체력</v>
      </c>
      <c r="F30" s="20" t="n">
        <f aca="false">장비_기본!G8*INDEX(등급!$C$5:$C$12,MATCH($D30,등급!$A$5:$A$12,0))</f>
        <v>75.4</v>
      </c>
      <c r="G30" s="19" t="str">
        <f aca="false">장비_기본!H8</f>
        <v>받는 피해 감소</v>
      </c>
      <c r="H30" s="21" t="n">
        <f aca="false">장비_기본!I8*INDEX(등급!$C$5:$C$12,MATCH($D30,등급!$A$5:$A$12,0))</f>
        <v>0.0087</v>
      </c>
      <c r="I30" s="19" t="str">
        <f aca="false">장비_기본!J8</f>
        <v>차지 공격 피해 -[값]%</v>
      </c>
      <c r="J30" s="20" t="n">
        <f aca="false">ROUND(장비_기본!K8*INDEX(등급!$F$5:$F$12,MATCH($D30,등급!$A$5:$A$12,0)),1)</f>
        <v>8.1</v>
      </c>
      <c r="K30" s="19" t="n">
        <f aca="false">INDEX(등급!$D$5:$D$12,MATCH($D30,등급!$A$5:$A$12,0))</f>
        <v>0</v>
      </c>
      <c r="L30" s="19" t="str">
        <f aca="false">IF(INDEX(등급!$H$5:$H$12,MATCH($D30,등급!$A$5:$A$12,0))=0,"-",IF(INDEX(등급!$G$5:$G$12,MATCH($D30,등급!$A$5:$A$12,0))=INDEX(등급!$H$5:$H$12,MATCH($D30,등급!$A$5:$A$12,0)),INDEX(등급!$G$5:$G$12,MATCH($D30,등급!$A$5:$A$12,0))&amp;"칸",INDEX(등급!$G$5:$G$12,MATCH($D30,등급!$A$5:$A$12,0))&amp;"~"&amp;INDEX(등급!$H$5:$H$12,MATCH($D30,등급!$A$5:$A$12,0))&amp;"칸"))</f>
        <v>-</v>
      </c>
      <c r="M30" s="19" t="str">
        <f aca="false">IF(INDEX(등급!$J$5:$J$12,MATCH($D30,등급!$A$5:$A$12,0))=0,"-",IF(INDEX(등급!$I$5:$I$12,MATCH($D30,등급!$A$5:$A$12,0))=INDEX(등급!$J$5:$J$12,MATCH($D30,등급!$A$5:$A$12,0)),INDEX(등급!$I$5:$I$12,MATCH($D30,등급!$A$5:$A$12,0))&amp;"개",INDEX(등급!$I$5:$I$12,MATCH($D30,등급!$A$5:$A$12,0))&amp;"~"&amp;INDEX(등급!$J$5:$J$12,MATCH($D30,등급!$A$5:$A$12,0))&amp;"개"))</f>
        <v>-</v>
      </c>
      <c r="N30" s="19" t="str">
        <f aca="false">IF(INDEX(등급!$L$5:$L$12,MATCH($D30,등급!$A$5:$A$12,0))=0,"-",INDEX(등급!$K$5:$K$12,MATCH($D30,등급!$A$5:$A$12,0))&amp;"~"&amp;INDEX(등급!$L$5:$L$12,MATCH($D30,등급!$A$5:$A$12,0))&amp;"개")</f>
        <v>-</v>
      </c>
    </row>
    <row r="31" customFormat="false" ht="15" hidden="false" customHeight="false" outlineLevel="0" collapsed="false">
      <c r="A31" s="19" t="str">
        <f aca="false">장비_기본!B8</f>
        <v>성벽 판금갑</v>
      </c>
      <c r="B31" s="19" t="str">
        <f aca="false">장비_기본!C8</f>
        <v>갑옷</v>
      </c>
      <c r="C31" s="19" t="str">
        <f aca="false">장비_기본!D8</f>
        <v>탱커</v>
      </c>
      <c r="D31" s="8" t="s">
        <v>45</v>
      </c>
      <c r="E31" s="19" t="str">
        <f aca="false">장비_기본!F8</f>
        <v>체력</v>
      </c>
      <c r="F31" s="20" t="n">
        <f aca="false">장비_기본!G8*INDEX(등급!$C$5:$C$12,MATCH($D31,등급!$A$5:$A$12,0))</f>
        <v>88.4</v>
      </c>
      <c r="G31" s="19" t="str">
        <f aca="false">장비_기본!H8</f>
        <v>받는 피해 감소</v>
      </c>
      <c r="H31" s="21" t="n">
        <f aca="false">장비_기본!I8*INDEX(등급!$C$5:$C$12,MATCH($D31,등급!$A$5:$A$12,0))</f>
        <v>0.0102</v>
      </c>
      <c r="I31" s="19" t="str">
        <f aca="false">장비_기본!J8</f>
        <v>차지 공격 피해 -[값]%</v>
      </c>
      <c r="J31" s="20" t="n">
        <f aca="false">ROUND(장비_기본!K8*INDEX(등급!$F$5:$F$12,MATCH($D31,등급!$A$5:$A$12,0)),1)</f>
        <v>9</v>
      </c>
      <c r="K31" s="19" t="n">
        <f aca="false">INDEX(등급!$D$5:$D$12,MATCH($D31,등급!$A$5:$A$12,0))</f>
        <v>1</v>
      </c>
      <c r="L31" s="19" t="str">
        <f aca="false">IF(INDEX(등급!$H$5:$H$12,MATCH($D31,등급!$A$5:$A$12,0))=0,"-",IF(INDEX(등급!$G$5:$G$12,MATCH($D31,등급!$A$5:$A$12,0))=INDEX(등급!$H$5:$H$12,MATCH($D31,등급!$A$5:$A$12,0)),INDEX(등급!$G$5:$G$12,MATCH($D31,등급!$A$5:$A$12,0))&amp;"칸",INDEX(등급!$G$5:$G$12,MATCH($D31,등급!$A$5:$A$12,0))&amp;"~"&amp;INDEX(등급!$H$5:$H$12,MATCH($D31,등급!$A$5:$A$12,0))&amp;"칸"))</f>
        <v>-</v>
      </c>
      <c r="M31" s="19" t="str">
        <f aca="false">IF(INDEX(등급!$J$5:$J$12,MATCH($D31,등급!$A$5:$A$12,0))=0,"-",IF(INDEX(등급!$I$5:$I$12,MATCH($D31,등급!$A$5:$A$12,0))=INDEX(등급!$J$5:$J$12,MATCH($D31,등급!$A$5:$A$12,0)),INDEX(등급!$I$5:$I$12,MATCH($D31,등급!$A$5:$A$12,0))&amp;"개",INDEX(등급!$I$5:$I$12,MATCH($D31,등급!$A$5:$A$12,0))&amp;"~"&amp;INDEX(등급!$J$5:$J$12,MATCH($D31,등급!$A$5:$A$12,0))&amp;"개"))</f>
        <v>-</v>
      </c>
      <c r="N31" s="19" t="str">
        <f aca="false">IF(INDEX(등급!$L$5:$L$12,MATCH($D31,등급!$A$5:$A$12,0))=0,"-",INDEX(등급!$K$5:$K$12,MATCH($D31,등급!$A$5:$A$12,0))&amp;"~"&amp;INDEX(등급!$L$5:$L$12,MATCH($D31,등급!$A$5:$A$12,0))&amp;"개")</f>
        <v>-</v>
      </c>
    </row>
    <row r="32" customFormat="false" ht="15" hidden="false" customHeight="false" outlineLevel="0" collapsed="false">
      <c r="A32" s="19" t="str">
        <f aca="false">장비_기본!B8</f>
        <v>성벽 판금갑</v>
      </c>
      <c r="B32" s="19" t="str">
        <f aca="false">장비_기본!C8</f>
        <v>갑옷</v>
      </c>
      <c r="C32" s="19" t="str">
        <f aca="false">장비_기본!D8</f>
        <v>탱커</v>
      </c>
      <c r="D32" s="8" t="s">
        <v>46</v>
      </c>
      <c r="E32" s="19" t="str">
        <f aca="false">장비_기본!F8</f>
        <v>체력</v>
      </c>
      <c r="F32" s="20" t="n">
        <f aca="false">장비_기본!G8*INDEX(등급!$C$5:$C$12,MATCH($D32,등급!$A$5:$A$12,0))</f>
        <v>109.2</v>
      </c>
      <c r="G32" s="19" t="str">
        <f aca="false">장비_기본!H8</f>
        <v>받는 피해 감소</v>
      </c>
      <c r="H32" s="21" t="n">
        <f aca="false">장비_기본!I8*INDEX(등급!$C$5:$C$12,MATCH($D32,등급!$A$5:$A$12,0))</f>
        <v>0.0126</v>
      </c>
      <c r="I32" s="19" t="str">
        <f aca="false">장비_기본!J8</f>
        <v>차지 공격 피해 -[값]%</v>
      </c>
      <c r="J32" s="20" t="n">
        <f aca="false">ROUND(장비_기본!K8*INDEX(등급!$F$5:$F$12,MATCH($D32,등급!$A$5:$A$12,0)),1)</f>
        <v>10.5</v>
      </c>
      <c r="K32" s="19" t="n">
        <f aca="false">INDEX(등급!$D$5:$D$12,MATCH($D32,등급!$A$5:$A$12,0))</f>
        <v>2</v>
      </c>
      <c r="L32" s="19" t="str">
        <f aca="false">IF(INDEX(등급!$H$5:$H$12,MATCH($D32,등급!$A$5:$A$12,0))=0,"-",IF(INDEX(등급!$G$5:$G$12,MATCH($D32,등급!$A$5:$A$12,0))=INDEX(등급!$H$5:$H$12,MATCH($D32,등급!$A$5:$A$12,0)),INDEX(등급!$G$5:$G$12,MATCH($D32,등급!$A$5:$A$12,0))&amp;"칸",INDEX(등급!$G$5:$G$12,MATCH($D32,등급!$A$5:$A$12,0))&amp;"~"&amp;INDEX(등급!$H$5:$H$12,MATCH($D32,등급!$A$5:$A$12,0))&amp;"칸"))</f>
        <v>-</v>
      </c>
      <c r="M32" s="19" t="str">
        <f aca="false">IF(INDEX(등급!$J$5:$J$12,MATCH($D32,등급!$A$5:$A$12,0))=0,"-",IF(INDEX(등급!$I$5:$I$12,MATCH($D32,등급!$A$5:$A$12,0))=INDEX(등급!$J$5:$J$12,MATCH($D32,등급!$A$5:$A$12,0)),INDEX(등급!$I$5:$I$12,MATCH($D32,등급!$A$5:$A$12,0))&amp;"개",INDEX(등급!$I$5:$I$12,MATCH($D32,등급!$A$5:$A$12,0))&amp;"~"&amp;INDEX(등급!$J$5:$J$12,MATCH($D32,등급!$A$5:$A$12,0))&amp;"개"))</f>
        <v>-</v>
      </c>
      <c r="N32" s="19" t="str">
        <f aca="false">IF(INDEX(등급!$L$5:$L$12,MATCH($D32,등급!$A$5:$A$12,0))=0,"-",INDEX(등급!$K$5:$K$12,MATCH($D32,등급!$A$5:$A$12,0))&amp;"~"&amp;INDEX(등급!$L$5:$L$12,MATCH($D32,등급!$A$5:$A$12,0))&amp;"개")</f>
        <v>-</v>
      </c>
    </row>
    <row r="33" customFormat="false" ht="15" hidden="false" customHeight="false" outlineLevel="0" collapsed="false">
      <c r="A33" s="19" t="str">
        <f aca="false">장비_기본!B8</f>
        <v>성벽 판금갑</v>
      </c>
      <c r="B33" s="19" t="str">
        <f aca="false">장비_기본!C8</f>
        <v>갑옷</v>
      </c>
      <c r="C33" s="19" t="str">
        <f aca="false">장비_기본!D8</f>
        <v>탱커</v>
      </c>
      <c r="D33" s="8" t="s">
        <v>47</v>
      </c>
      <c r="E33" s="19" t="str">
        <f aca="false">장비_기본!F8</f>
        <v>체력</v>
      </c>
      <c r="F33" s="20" t="n">
        <f aca="false">장비_기본!G8*INDEX(등급!$C$5:$C$12,MATCH($D33,등급!$A$5:$A$12,0))</f>
        <v>132.6</v>
      </c>
      <c r="G33" s="19" t="str">
        <f aca="false">장비_기본!H8</f>
        <v>받는 피해 감소</v>
      </c>
      <c r="H33" s="21" t="n">
        <f aca="false">장비_기본!I8*INDEX(등급!$C$5:$C$12,MATCH($D33,등급!$A$5:$A$12,0))</f>
        <v>0.0153</v>
      </c>
      <c r="I33" s="19" t="str">
        <f aca="false">장비_기본!J8</f>
        <v>차지 공격 피해 -[값]%</v>
      </c>
      <c r="J33" s="20" t="n">
        <f aca="false">ROUND(장비_기본!K8*INDEX(등급!$F$5:$F$12,MATCH($D33,등급!$A$5:$A$12,0)),1)</f>
        <v>12</v>
      </c>
      <c r="K33" s="19" t="n">
        <f aca="false">INDEX(등급!$D$5:$D$12,MATCH($D33,등급!$A$5:$A$12,0))</f>
        <v>3</v>
      </c>
      <c r="L33" s="19" t="str">
        <f aca="false">IF(INDEX(등급!$H$5:$H$12,MATCH($D33,등급!$A$5:$A$12,0))=0,"-",IF(INDEX(등급!$G$5:$G$12,MATCH($D33,등급!$A$5:$A$12,0))=INDEX(등급!$H$5:$H$12,MATCH($D33,등급!$A$5:$A$12,0)),INDEX(등급!$G$5:$G$12,MATCH($D33,등급!$A$5:$A$12,0))&amp;"칸",INDEX(등급!$G$5:$G$12,MATCH($D33,등급!$A$5:$A$12,0))&amp;"~"&amp;INDEX(등급!$H$5:$H$12,MATCH($D33,등급!$A$5:$A$12,0))&amp;"칸"))</f>
        <v>-</v>
      </c>
      <c r="M33" s="19" t="str">
        <f aca="false">IF(INDEX(등급!$J$5:$J$12,MATCH($D33,등급!$A$5:$A$12,0))=0,"-",IF(INDEX(등급!$I$5:$I$12,MATCH($D33,등급!$A$5:$A$12,0))=INDEX(등급!$J$5:$J$12,MATCH($D33,등급!$A$5:$A$12,0)),INDEX(등급!$I$5:$I$12,MATCH($D33,등급!$A$5:$A$12,0))&amp;"개",INDEX(등급!$I$5:$I$12,MATCH($D33,등급!$A$5:$A$12,0))&amp;"~"&amp;INDEX(등급!$J$5:$J$12,MATCH($D33,등급!$A$5:$A$12,0))&amp;"개"))</f>
        <v>-</v>
      </c>
      <c r="N33" s="19" t="str">
        <f aca="false">IF(INDEX(등급!$L$5:$L$12,MATCH($D33,등급!$A$5:$A$12,0))=0,"-",INDEX(등급!$K$5:$K$12,MATCH($D33,등급!$A$5:$A$12,0))&amp;"~"&amp;INDEX(등급!$L$5:$L$12,MATCH($D33,등급!$A$5:$A$12,0))&amp;"개")</f>
        <v>-</v>
      </c>
    </row>
    <row r="34" customFormat="false" ht="15" hidden="false" customHeight="false" outlineLevel="0" collapsed="false">
      <c r="A34" s="19" t="str">
        <f aca="false">장비_기본!B8</f>
        <v>성벽 판금갑</v>
      </c>
      <c r="B34" s="19" t="str">
        <f aca="false">장비_기본!C8</f>
        <v>갑옷</v>
      </c>
      <c r="C34" s="19" t="str">
        <f aca="false">장비_기본!D8</f>
        <v>탱커</v>
      </c>
      <c r="D34" s="8" t="s">
        <v>48</v>
      </c>
      <c r="E34" s="19" t="str">
        <f aca="false">장비_기본!F8</f>
        <v>체력</v>
      </c>
      <c r="F34" s="20" t="n">
        <f aca="false">장비_기본!G8*INDEX(등급!$C$5:$C$12,MATCH($D34,등급!$A$5:$A$12,0))</f>
        <v>158.6</v>
      </c>
      <c r="G34" s="19" t="str">
        <f aca="false">장비_기본!H8</f>
        <v>받는 피해 감소</v>
      </c>
      <c r="H34" s="21" t="n">
        <f aca="false">장비_기본!I8*INDEX(등급!$C$5:$C$12,MATCH($D34,등급!$A$5:$A$12,0))</f>
        <v>0.0183</v>
      </c>
      <c r="I34" s="19" t="str">
        <f aca="false">장비_기본!J8</f>
        <v>차지 공격 피해 -[값]%</v>
      </c>
      <c r="J34" s="20" t="n">
        <f aca="false">ROUND(장비_기본!K8*INDEX(등급!$F$5:$F$12,MATCH($D34,등급!$A$5:$A$12,0)),1)</f>
        <v>13.8</v>
      </c>
      <c r="K34" s="19" t="n">
        <f aca="false">INDEX(등급!$D$5:$D$12,MATCH($D34,등급!$A$5:$A$12,0))</f>
        <v>4</v>
      </c>
      <c r="L34" s="19" t="str">
        <f aca="false">IF(INDEX(등급!$H$5:$H$12,MATCH($D34,등급!$A$5:$A$12,0))=0,"-",IF(INDEX(등급!$G$5:$G$12,MATCH($D34,등급!$A$5:$A$12,0))=INDEX(등급!$H$5:$H$12,MATCH($D34,등급!$A$5:$A$12,0)),INDEX(등급!$G$5:$G$12,MATCH($D34,등급!$A$5:$A$12,0))&amp;"칸",INDEX(등급!$G$5:$G$12,MATCH($D34,등급!$A$5:$A$12,0))&amp;"~"&amp;INDEX(등급!$H$5:$H$12,MATCH($D34,등급!$A$5:$A$12,0))&amp;"칸"))</f>
        <v>-</v>
      </c>
      <c r="M34" s="19" t="str">
        <f aca="false">IF(INDEX(등급!$J$5:$J$12,MATCH($D34,등급!$A$5:$A$12,0))=0,"-",IF(INDEX(등급!$I$5:$I$12,MATCH($D34,등급!$A$5:$A$12,0))=INDEX(등급!$J$5:$J$12,MATCH($D34,등급!$A$5:$A$12,0)),INDEX(등급!$I$5:$I$12,MATCH($D34,등급!$A$5:$A$12,0))&amp;"개",INDEX(등급!$I$5:$I$12,MATCH($D34,등급!$A$5:$A$12,0))&amp;"~"&amp;INDEX(등급!$J$5:$J$12,MATCH($D34,등급!$A$5:$A$12,0))&amp;"개"))</f>
        <v>-</v>
      </c>
      <c r="N34" s="19" t="str">
        <f aca="false">IF(INDEX(등급!$L$5:$L$12,MATCH($D34,등급!$A$5:$A$12,0))=0,"-",INDEX(등급!$K$5:$K$12,MATCH($D34,등급!$A$5:$A$12,0))&amp;"~"&amp;INDEX(등급!$L$5:$L$12,MATCH($D34,등급!$A$5:$A$12,0))&amp;"개")</f>
        <v>-</v>
      </c>
    </row>
    <row r="35" customFormat="false" ht="15" hidden="false" customHeight="false" outlineLevel="0" collapsed="false">
      <c r="A35" s="19" t="str">
        <f aca="false">장비_기본!B8</f>
        <v>성벽 판금갑</v>
      </c>
      <c r="B35" s="19" t="str">
        <f aca="false">장비_기본!C8</f>
        <v>갑옷</v>
      </c>
      <c r="C35" s="19" t="str">
        <f aca="false">장비_기본!D8</f>
        <v>탱커</v>
      </c>
      <c r="D35" s="8" t="s">
        <v>49</v>
      </c>
      <c r="E35" s="19" t="str">
        <f aca="false">장비_기본!F8</f>
        <v>체력</v>
      </c>
      <c r="F35" s="20" t="n">
        <f aca="false">장비_기본!G8*INDEX(등급!$C$5:$C$12,MATCH($D35,등급!$A$5:$A$12,0))</f>
        <v>166.4</v>
      </c>
      <c r="G35" s="19" t="str">
        <f aca="false">장비_기본!H8</f>
        <v>받는 피해 감소</v>
      </c>
      <c r="H35" s="21" t="n">
        <f aca="false">장비_기본!I8*INDEX(등급!$C$5:$C$12,MATCH($D35,등급!$A$5:$A$12,0))</f>
        <v>0.0192</v>
      </c>
      <c r="I35" s="19" t="str">
        <f aca="false">장비_기본!J8</f>
        <v>차지 공격 피해 -[값]%</v>
      </c>
      <c r="J35" s="20" t="n">
        <f aca="false">ROUND(장비_기본!K8*INDEX(등급!$F$5:$F$12,MATCH($D35,등급!$A$5:$A$12,0)),1)</f>
        <v>15.9</v>
      </c>
      <c r="K35" s="19" t="n">
        <f aca="false">INDEX(등급!$D$5:$D$12,MATCH($D35,등급!$A$5:$A$12,0))</f>
        <v>4</v>
      </c>
      <c r="L35" s="19" t="str">
        <f aca="false">IF(INDEX(등급!$H$5:$H$12,MATCH($D35,등급!$A$5:$A$12,0))=0,"-",IF(INDEX(등급!$G$5:$G$12,MATCH($D35,등급!$A$5:$A$12,0))=INDEX(등급!$H$5:$H$12,MATCH($D35,등급!$A$5:$A$12,0)),INDEX(등급!$G$5:$G$12,MATCH($D35,등급!$A$5:$A$12,0))&amp;"칸",INDEX(등급!$G$5:$G$12,MATCH($D35,등급!$A$5:$A$12,0))&amp;"~"&amp;INDEX(등급!$H$5:$H$12,MATCH($D35,등급!$A$5:$A$12,0))&amp;"칸"))</f>
        <v>1칸</v>
      </c>
      <c r="M35" s="19" t="str">
        <f aca="false">IF(INDEX(등급!$J$5:$J$12,MATCH($D35,등급!$A$5:$A$12,0))=0,"-",IF(INDEX(등급!$I$5:$I$12,MATCH($D35,등급!$A$5:$A$12,0))=INDEX(등급!$J$5:$J$12,MATCH($D35,등급!$A$5:$A$12,0)),INDEX(등급!$I$5:$I$12,MATCH($D35,등급!$A$5:$A$12,0))&amp;"개",INDEX(등급!$I$5:$I$12,MATCH($D35,등급!$A$5:$A$12,0))&amp;"~"&amp;INDEX(등급!$J$5:$J$12,MATCH($D35,등급!$A$5:$A$12,0))&amp;"개"))</f>
        <v>0~1개</v>
      </c>
      <c r="N35" s="19" t="str">
        <f aca="false">IF(INDEX(등급!$L$5:$L$12,MATCH($D35,등급!$A$5:$A$12,0))=0,"-",INDEX(등급!$K$5:$K$12,MATCH($D35,등급!$A$5:$A$12,0))&amp;"~"&amp;INDEX(등급!$L$5:$L$12,MATCH($D35,등급!$A$5:$A$12,0))&amp;"개")</f>
        <v>0~1개</v>
      </c>
    </row>
    <row r="36" customFormat="false" ht="15" hidden="false" customHeight="false" outlineLevel="0" collapsed="false">
      <c r="A36" s="19" t="str">
        <f aca="false">장비_기본!B8</f>
        <v>성벽 판금갑</v>
      </c>
      <c r="B36" s="19" t="str">
        <f aca="false">장비_기본!C8</f>
        <v>갑옷</v>
      </c>
      <c r="C36" s="19" t="str">
        <f aca="false">장비_기본!D8</f>
        <v>탱커</v>
      </c>
      <c r="D36" s="8" t="s">
        <v>51</v>
      </c>
      <c r="E36" s="19" t="str">
        <f aca="false">장비_기본!F8</f>
        <v>체력</v>
      </c>
      <c r="F36" s="20" t="n">
        <f aca="false">장비_기본!G8*INDEX(등급!$C$5:$C$12,MATCH($D36,등급!$A$5:$A$12,0))</f>
        <v>171.6</v>
      </c>
      <c r="G36" s="19" t="str">
        <f aca="false">장비_기본!H8</f>
        <v>받는 피해 감소</v>
      </c>
      <c r="H36" s="21" t="n">
        <f aca="false">장비_기본!I8*INDEX(등급!$C$5:$C$12,MATCH($D36,등급!$A$5:$A$12,0))</f>
        <v>0.0198</v>
      </c>
      <c r="I36" s="19" t="str">
        <f aca="false">장비_기본!J8</f>
        <v>차지 공격 피해 -[값]%</v>
      </c>
      <c r="J36" s="20" t="n">
        <f aca="false">ROUND(장비_기본!K8*INDEX(등급!$F$5:$F$12,MATCH($D36,등급!$A$5:$A$12,0)),1)</f>
        <v>18</v>
      </c>
      <c r="K36" s="19" t="n">
        <f aca="false">INDEX(등급!$D$5:$D$12,MATCH($D36,등급!$A$5:$A$12,0))</f>
        <v>4</v>
      </c>
      <c r="L36" s="19" t="str">
        <f aca="false">IF(INDEX(등급!$H$5:$H$12,MATCH($D36,등급!$A$5:$A$12,0))=0,"-",IF(INDEX(등급!$G$5:$G$12,MATCH($D36,등급!$A$5:$A$12,0))=INDEX(등급!$H$5:$H$12,MATCH($D36,등급!$A$5:$A$12,0)),INDEX(등급!$G$5:$G$12,MATCH($D36,등급!$A$5:$A$12,0))&amp;"칸",INDEX(등급!$G$5:$G$12,MATCH($D36,등급!$A$5:$A$12,0))&amp;"~"&amp;INDEX(등급!$H$5:$H$12,MATCH($D36,등급!$A$5:$A$12,0))&amp;"칸"))</f>
        <v>1~3칸</v>
      </c>
      <c r="M36" s="19" t="str">
        <f aca="false">IF(INDEX(등급!$J$5:$J$12,MATCH($D36,등급!$A$5:$A$12,0))=0,"-",IF(INDEX(등급!$I$5:$I$12,MATCH($D36,등급!$A$5:$A$12,0))=INDEX(등급!$J$5:$J$12,MATCH($D36,등급!$A$5:$A$12,0)),INDEX(등급!$I$5:$I$12,MATCH($D36,등급!$A$5:$A$12,0))&amp;"개",INDEX(등급!$I$5:$I$12,MATCH($D36,등급!$A$5:$A$12,0))&amp;"~"&amp;INDEX(등급!$J$5:$J$12,MATCH($D36,등급!$A$5:$A$12,0))&amp;"개"))</f>
        <v>1개</v>
      </c>
      <c r="N36" s="19" t="str">
        <f aca="false">IF(INDEX(등급!$L$5:$L$12,MATCH($D36,등급!$A$5:$A$12,0))=0,"-",INDEX(등급!$K$5:$K$12,MATCH($D36,등급!$A$5:$A$12,0))&amp;"~"&amp;INDEX(등급!$L$5:$L$12,MATCH($D36,등급!$A$5:$A$12,0))&amp;"개")</f>
        <v>0~2개</v>
      </c>
    </row>
    <row r="37" customFormat="false" ht="15" hidden="false" customHeight="false" outlineLevel="0" collapsed="false">
      <c r="A37" s="19" t="str">
        <f aca="false">장비_기본!B9</f>
        <v>맹세의 사슬갑</v>
      </c>
      <c r="B37" s="19" t="str">
        <f aca="false">장비_기본!C9</f>
        <v>갑옷</v>
      </c>
      <c r="C37" s="19" t="str">
        <f aca="false">장비_기본!D9</f>
        <v>탱커</v>
      </c>
      <c r="D37" s="8" t="s">
        <v>43</v>
      </c>
      <c r="E37" s="19" t="str">
        <f aca="false">장비_기본!F9</f>
        <v>체력</v>
      </c>
      <c r="F37" s="20" t="n">
        <f aca="false">장비_기본!G9*INDEX(등급!$C$5:$C$12,MATCH($D37,등급!$A$5:$A$12,0))</f>
        <v>52</v>
      </c>
      <c r="G37" s="19" t="str">
        <f aca="false">장비_기본!H9</f>
        <v>받는 피해 감소</v>
      </c>
      <c r="H37" s="21" t="n">
        <f aca="false">장비_기본!I9*INDEX(등급!$C$5:$C$12,MATCH($D37,등급!$A$5:$A$12,0))</f>
        <v>0.006</v>
      </c>
      <c r="I37" s="19" t="str">
        <f aca="false">장비_기본!J9</f>
        <v>① 도발 지속 +[값]초</v>
      </c>
      <c r="J37" s="20" t="n">
        <f aca="false">ROUND(장비_기본!K9*INDEX(등급!$F$5:$F$12,MATCH($D37,등급!$A$5:$A$12,0)),1)</f>
        <v>0.3</v>
      </c>
      <c r="K37" s="19" t="n">
        <f aca="false">INDEX(등급!$D$5:$D$12,MATCH($D37,등급!$A$5:$A$12,0))</f>
        <v>0</v>
      </c>
      <c r="L37" s="19" t="str">
        <f aca="false">IF(INDEX(등급!$H$5:$H$12,MATCH($D37,등급!$A$5:$A$12,0))=0,"-",IF(INDEX(등급!$G$5:$G$12,MATCH($D37,등급!$A$5:$A$12,0))=INDEX(등급!$H$5:$H$12,MATCH($D37,등급!$A$5:$A$12,0)),INDEX(등급!$G$5:$G$12,MATCH($D37,등급!$A$5:$A$12,0))&amp;"칸",INDEX(등급!$G$5:$G$12,MATCH($D37,등급!$A$5:$A$12,0))&amp;"~"&amp;INDEX(등급!$H$5:$H$12,MATCH($D37,등급!$A$5:$A$12,0))&amp;"칸"))</f>
        <v>-</v>
      </c>
      <c r="M37" s="19" t="str">
        <f aca="false">IF(INDEX(등급!$J$5:$J$12,MATCH($D37,등급!$A$5:$A$12,0))=0,"-",IF(INDEX(등급!$I$5:$I$12,MATCH($D37,등급!$A$5:$A$12,0))=INDEX(등급!$J$5:$J$12,MATCH($D37,등급!$A$5:$A$12,0)),INDEX(등급!$I$5:$I$12,MATCH($D37,등급!$A$5:$A$12,0))&amp;"개",INDEX(등급!$I$5:$I$12,MATCH($D37,등급!$A$5:$A$12,0))&amp;"~"&amp;INDEX(등급!$J$5:$J$12,MATCH($D37,등급!$A$5:$A$12,0))&amp;"개"))</f>
        <v>-</v>
      </c>
      <c r="N37" s="19" t="str">
        <f aca="false">IF(INDEX(등급!$L$5:$L$12,MATCH($D37,등급!$A$5:$A$12,0))=0,"-",INDEX(등급!$K$5:$K$12,MATCH($D37,등급!$A$5:$A$12,0))&amp;"~"&amp;INDEX(등급!$L$5:$L$12,MATCH($D37,등급!$A$5:$A$12,0))&amp;"개")</f>
        <v>-</v>
      </c>
    </row>
    <row r="38" customFormat="false" ht="15" hidden="false" customHeight="false" outlineLevel="0" collapsed="false">
      <c r="A38" s="19" t="str">
        <f aca="false">장비_기본!B9</f>
        <v>맹세의 사슬갑</v>
      </c>
      <c r="B38" s="19" t="str">
        <f aca="false">장비_기본!C9</f>
        <v>갑옷</v>
      </c>
      <c r="C38" s="19" t="str">
        <f aca="false">장비_기본!D9</f>
        <v>탱커</v>
      </c>
      <c r="D38" s="8" t="s">
        <v>44</v>
      </c>
      <c r="E38" s="19" t="str">
        <f aca="false">장비_기본!F9</f>
        <v>체력</v>
      </c>
      <c r="F38" s="20" t="n">
        <f aca="false">장비_기본!G9*INDEX(등급!$C$5:$C$12,MATCH($D38,등급!$A$5:$A$12,0))</f>
        <v>75.4</v>
      </c>
      <c r="G38" s="19" t="str">
        <f aca="false">장비_기본!H9</f>
        <v>받는 피해 감소</v>
      </c>
      <c r="H38" s="21" t="n">
        <f aca="false">장비_기본!I9*INDEX(등급!$C$5:$C$12,MATCH($D38,등급!$A$5:$A$12,0))</f>
        <v>0.0087</v>
      </c>
      <c r="I38" s="19" t="str">
        <f aca="false">장비_기본!J9</f>
        <v>① 도발 지속 +[값]초</v>
      </c>
      <c r="J38" s="20" t="n">
        <f aca="false">ROUND(장비_기본!K9*INDEX(등급!$F$5:$F$12,MATCH($D38,등급!$A$5:$A$12,0)),1)</f>
        <v>0.4</v>
      </c>
      <c r="K38" s="19" t="n">
        <f aca="false">INDEX(등급!$D$5:$D$12,MATCH($D38,등급!$A$5:$A$12,0))</f>
        <v>0</v>
      </c>
      <c r="L38" s="19" t="str">
        <f aca="false">IF(INDEX(등급!$H$5:$H$12,MATCH($D38,등급!$A$5:$A$12,0))=0,"-",IF(INDEX(등급!$G$5:$G$12,MATCH($D38,등급!$A$5:$A$12,0))=INDEX(등급!$H$5:$H$12,MATCH($D38,등급!$A$5:$A$12,0)),INDEX(등급!$G$5:$G$12,MATCH($D38,등급!$A$5:$A$12,0))&amp;"칸",INDEX(등급!$G$5:$G$12,MATCH($D38,등급!$A$5:$A$12,0))&amp;"~"&amp;INDEX(등급!$H$5:$H$12,MATCH($D38,등급!$A$5:$A$12,0))&amp;"칸"))</f>
        <v>-</v>
      </c>
      <c r="M38" s="19" t="str">
        <f aca="false">IF(INDEX(등급!$J$5:$J$12,MATCH($D38,등급!$A$5:$A$12,0))=0,"-",IF(INDEX(등급!$I$5:$I$12,MATCH($D38,등급!$A$5:$A$12,0))=INDEX(등급!$J$5:$J$12,MATCH($D38,등급!$A$5:$A$12,0)),INDEX(등급!$I$5:$I$12,MATCH($D38,등급!$A$5:$A$12,0))&amp;"개",INDEX(등급!$I$5:$I$12,MATCH($D38,등급!$A$5:$A$12,0))&amp;"~"&amp;INDEX(등급!$J$5:$J$12,MATCH($D38,등급!$A$5:$A$12,0))&amp;"개"))</f>
        <v>-</v>
      </c>
      <c r="N38" s="19" t="str">
        <f aca="false">IF(INDEX(등급!$L$5:$L$12,MATCH($D38,등급!$A$5:$A$12,0))=0,"-",INDEX(등급!$K$5:$K$12,MATCH($D38,등급!$A$5:$A$12,0))&amp;"~"&amp;INDEX(등급!$L$5:$L$12,MATCH($D38,등급!$A$5:$A$12,0))&amp;"개")</f>
        <v>-</v>
      </c>
    </row>
    <row r="39" customFormat="false" ht="15" hidden="false" customHeight="false" outlineLevel="0" collapsed="false">
      <c r="A39" s="19" t="str">
        <f aca="false">장비_기본!B9</f>
        <v>맹세의 사슬갑</v>
      </c>
      <c r="B39" s="19" t="str">
        <f aca="false">장비_기본!C9</f>
        <v>갑옷</v>
      </c>
      <c r="C39" s="19" t="str">
        <f aca="false">장비_기본!D9</f>
        <v>탱커</v>
      </c>
      <c r="D39" s="8" t="s">
        <v>45</v>
      </c>
      <c r="E39" s="19" t="str">
        <f aca="false">장비_기본!F9</f>
        <v>체력</v>
      </c>
      <c r="F39" s="20" t="n">
        <f aca="false">장비_기본!G9*INDEX(등급!$C$5:$C$12,MATCH($D39,등급!$A$5:$A$12,0))</f>
        <v>88.4</v>
      </c>
      <c r="G39" s="19" t="str">
        <f aca="false">장비_기본!H9</f>
        <v>받는 피해 감소</v>
      </c>
      <c r="H39" s="21" t="n">
        <f aca="false">장비_기본!I9*INDEX(등급!$C$5:$C$12,MATCH($D39,등급!$A$5:$A$12,0))</f>
        <v>0.0102</v>
      </c>
      <c r="I39" s="19" t="str">
        <f aca="false">장비_기본!J9</f>
        <v>① 도발 지속 +[값]초</v>
      </c>
      <c r="J39" s="20" t="n">
        <f aca="false">ROUND(장비_기본!K9*INDEX(등급!$F$5:$F$12,MATCH($D39,등급!$A$5:$A$12,0)),1)</f>
        <v>0.5</v>
      </c>
      <c r="K39" s="19" t="n">
        <f aca="false">INDEX(등급!$D$5:$D$12,MATCH($D39,등급!$A$5:$A$12,0))</f>
        <v>1</v>
      </c>
      <c r="L39" s="19" t="str">
        <f aca="false">IF(INDEX(등급!$H$5:$H$12,MATCH($D39,등급!$A$5:$A$12,0))=0,"-",IF(INDEX(등급!$G$5:$G$12,MATCH($D39,등급!$A$5:$A$12,0))=INDEX(등급!$H$5:$H$12,MATCH($D39,등급!$A$5:$A$12,0)),INDEX(등급!$G$5:$G$12,MATCH($D39,등급!$A$5:$A$12,0))&amp;"칸",INDEX(등급!$G$5:$G$12,MATCH($D39,등급!$A$5:$A$12,0))&amp;"~"&amp;INDEX(등급!$H$5:$H$12,MATCH($D39,등급!$A$5:$A$12,0))&amp;"칸"))</f>
        <v>-</v>
      </c>
      <c r="M39" s="19" t="str">
        <f aca="false">IF(INDEX(등급!$J$5:$J$12,MATCH($D39,등급!$A$5:$A$12,0))=0,"-",IF(INDEX(등급!$I$5:$I$12,MATCH($D39,등급!$A$5:$A$12,0))=INDEX(등급!$J$5:$J$12,MATCH($D39,등급!$A$5:$A$12,0)),INDEX(등급!$I$5:$I$12,MATCH($D39,등급!$A$5:$A$12,0))&amp;"개",INDEX(등급!$I$5:$I$12,MATCH($D39,등급!$A$5:$A$12,0))&amp;"~"&amp;INDEX(등급!$J$5:$J$12,MATCH($D39,등급!$A$5:$A$12,0))&amp;"개"))</f>
        <v>-</v>
      </c>
      <c r="N39" s="19" t="str">
        <f aca="false">IF(INDEX(등급!$L$5:$L$12,MATCH($D39,등급!$A$5:$A$12,0))=0,"-",INDEX(등급!$K$5:$K$12,MATCH($D39,등급!$A$5:$A$12,0))&amp;"~"&amp;INDEX(등급!$L$5:$L$12,MATCH($D39,등급!$A$5:$A$12,0))&amp;"개")</f>
        <v>-</v>
      </c>
    </row>
    <row r="40" customFormat="false" ht="15" hidden="false" customHeight="false" outlineLevel="0" collapsed="false">
      <c r="A40" s="19" t="str">
        <f aca="false">장비_기본!B9</f>
        <v>맹세의 사슬갑</v>
      </c>
      <c r="B40" s="19" t="str">
        <f aca="false">장비_기본!C9</f>
        <v>갑옷</v>
      </c>
      <c r="C40" s="19" t="str">
        <f aca="false">장비_기본!D9</f>
        <v>탱커</v>
      </c>
      <c r="D40" s="8" t="s">
        <v>46</v>
      </c>
      <c r="E40" s="19" t="str">
        <f aca="false">장비_기본!F9</f>
        <v>체력</v>
      </c>
      <c r="F40" s="20" t="n">
        <f aca="false">장비_기본!G9*INDEX(등급!$C$5:$C$12,MATCH($D40,등급!$A$5:$A$12,0))</f>
        <v>109.2</v>
      </c>
      <c r="G40" s="19" t="str">
        <f aca="false">장비_기본!H9</f>
        <v>받는 피해 감소</v>
      </c>
      <c r="H40" s="21" t="n">
        <f aca="false">장비_기본!I9*INDEX(등급!$C$5:$C$12,MATCH($D40,등급!$A$5:$A$12,0))</f>
        <v>0.0126</v>
      </c>
      <c r="I40" s="19" t="str">
        <f aca="false">장비_기본!J9</f>
        <v>① 도발 지속 +[값]초</v>
      </c>
      <c r="J40" s="20" t="n">
        <f aca="false">ROUND(장비_기본!K9*INDEX(등급!$F$5:$F$12,MATCH($D40,등급!$A$5:$A$12,0)),1)</f>
        <v>0.5</v>
      </c>
      <c r="K40" s="19" t="n">
        <f aca="false">INDEX(등급!$D$5:$D$12,MATCH($D40,등급!$A$5:$A$12,0))</f>
        <v>2</v>
      </c>
      <c r="L40" s="19" t="str">
        <f aca="false">IF(INDEX(등급!$H$5:$H$12,MATCH($D40,등급!$A$5:$A$12,0))=0,"-",IF(INDEX(등급!$G$5:$G$12,MATCH($D40,등급!$A$5:$A$12,0))=INDEX(등급!$H$5:$H$12,MATCH($D40,등급!$A$5:$A$12,0)),INDEX(등급!$G$5:$G$12,MATCH($D40,등급!$A$5:$A$12,0))&amp;"칸",INDEX(등급!$G$5:$G$12,MATCH($D40,등급!$A$5:$A$12,0))&amp;"~"&amp;INDEX(등급!$H$5:$H$12,MATCH($D40,등급!$A$5:$A$12,0))&amp;"칸"))</f>
        <v>-</v>
      </c>
      <c r="M40" s="19" t="str">
        <f aca="false">IF(INDEX(등급!$J$5:$J$12,MATCH($D40,등급!$A$5:$A$12,0))=0,"-",IF(INDEX(등급!$I$5:$I$12,MATCH($D40,등급!$A$5:$A$12,0))=INDEX(등급!$J$5:$J$12,MATCH($D40,등급!$A$5:$A$12,0)),INDEX(등급!$I$5:$I$12,MATCH($D40,등급!$A$5:$A$12,0))&amp;"개",INDEX(등급!$I$5:$I$12,MATCH($D40,등급!$A$5:$A$12,0))&amp;"~"&amp;INDEX(등급!$J$5:$J$12,MATCH($D40,등급!$A$5:$A$12,0))&amp;"개"))</f>
        <v>-</v>
      </c>
      <c r="N40" s="19" t="str">
        <f aca="false">IF(INDEX(등급!$L$5:$L$12,MATCH($D40,등급!$A$5:$A$12,0))=0,"-",INDEX(등급!$K$5:$K$12,MATCH($D40,등급!$A$5:$A$12,0))&amp;"~"&amp;INDEX(등급!$L$5:$L$12,MATCH($D40,등급!$A$5:$A$12,0))&amp;"개")</f>
        <v>-</v>
      </c>
    </row>
    <row r="41" customFormat="false" ht="15" hidden="false" customHeight="false" outlineLevel="0" collapsed="false">
      <c r="A41" s="19" t="str">
        <f aca="false">장비_기본!B9</f>
        <v>맹세의 사슬갑</v>
      </c>
      <c r="B41" s="19" t="str">
        <f aca="false">장비_기본!C9</f>
        <v>갑옷</v>
      </c>
      <c r="C41" s="19" t="str">
        <f aca="false">장비_기본!D9</f>
        <v>탱커</v>
      </c>
      <c r="D41" s="8" t="s">
        <v>47</v>
      </c>
      <c r="E41" s="19" t="str">
        <f aca="false">장비_기본!F9</f>
        <v>체력</v>
      </c>
      <c r="F41" s="20" t="n">
        <f aca="false">장비_기본!G9*INDEX(등급!$C$5:$C$12,MATCH($D41,등급!$A$5:$A$12,0))</f>
        <v>132.6</v>
      </c>
      <c r="G41" s="19" t="str">
        <f aca="false">장비_기본!H9</f>
        <v>받는 피해 감소</v>
      </c>
      <c r="H41" s="21" t="n">
        <f aca="false">장비_기본!I9*INDEX(등급!$C$5:$C$12,MATCH($D41,등급!$A$5:$A$12,0))</f>
        <v>0.0153</v>
      </c>
      <c r="I41" s="19" t="str">
        <f aca="false">장비_기본!J9</f>
        <v>① 도발 지속 +[값]초</v>
      </c>
      <c r="J41" s="20" t="n">
        <f aca="false">ROUND(장비_기본!K9*INDEX(등급!$F$5:$F$12,MATCH($D41,등급!$A$5:$A$12,0)),1)</f>
        <v>0.6</v>
      </c>
      <c r="K41" s="19" t="n">
        <f aca="false">INDEX(등급!$D$5:$D$12,MATCH($D41,등급!$A$5:$A$12,0))</f>
        <v>3</v>
      </c>
      <c r="L41" s="19" t="str">
        <f aca="false">IF(INDEX(등급!$H$5:$H$12,MATCH($D41,등급!$A$5:$A$12,0))=0,"-",IF(INDEX(등급!$G$5:$G$12,MATCH($D41,등급!$A$5:$A$12,0))=INDEX(등급!$H$5:$H$12,MATCH($D41,등급!$A$5:$A$12,0)),INDEX(등급!$G$5:$G$12,MATCH($D41,등급!$A$5:$A$12,0))&amp;"칸",INDEX(등급!$G$5:$G$12,MATCH($D41,등급!$A$5:$A$12,0))&amp;"~"&amp;INDEX(등급!$H$5:$H$12,MATCH($D41,등급!$A$5:$A$12,0))&amp;"칸"))</f>
        <v>-</v>
      </c>
      <c r="M41" s="19" t="str">
        <f aca="false">IF(INDEX(등급!$J$5:$J$12,MATCH($D41,등급!$A$5:$A$12,0))=0,"-",IF(INDEX(등급!$I$5:$I$12,MATCH($D41,등급!$A$5:$A$12,0))=INDEX(등급!$J$5:$J$12,MATCH($D41,등급!$A$5:$A$12,0)),INDEX(등급!$I$5:$I$12,MATCH($D41,등급!$A$5:$A$12,0))&amp;"개",INDEX(등급!$I$5:$I$12,MATCH($D41,등급!$A$5:$A$12,0))&amp;"~"&amp;INDEX(등급!$J$5:$J$12,MATCH($D41,등급!$A$5:$A$12,0))&amp;"개"))</f>
        <v>-</v>
      </c>
      <c r="N41" s="19" t="str">
        <f aca="false">IF(INDEX(등급!$L$5:$L$12,MATCH($D41,등급!$A$5:$A$12,0))=0,"-",INDEX(등급!$K$5:$K$12,MATCH($D41,등급!$A$5:$A$12,0))&amp;"~"&amp;INDEX(등급!$L$5:$L$12,MATCH($D41,등급!$A$5:$A$12,0))&amp;"개")</f>
        <v>-</v>
      </c>
    </row>
    <row r="42" customFormat="false" ht="15" hidden="false" customHeight="false" outlineLevel="0" collapsed="false">
      <c r="A42" s="19" t="str">
        <f aca="false">장비_기본!B9</f>
        <v>맹세의 사슬갑</v>
      </c>
      <c r="B42" s="19" t="str">
        <f aca="false">장비_기본!C9</f>
        <v>갑옷</v>
      </c>
      <c r="C42" s="19" t="str">
        <f aca="false">장비_기본!D9</f>
        <v>탱커</v>
      </c>
      <c r="D42" s="8" t="s">
        <v>48</v>
      </c>
      <c r="E42" s="19" t="str">
        <f aca="false">장비_기본!F9</f>
        <v>체력</v>
      </c>
      <c r="F42" s="20" t="n">
        <f aca="false">장비_기본!G9*INDEX(등급!$C$5:$C$12,MATCH($D42,등급!$A$5:$A$12,0))</f>
        <v>158.6</v>
      </c>
      <c r="G42" s="19" t="str">
        <f aca="false">장비_기본!H9</f>
        <v>받는 피해 감소</v>
      </c>
      <c r="H42" s="21" t="n">
        <f aca="false">장비_기본!I9*INDEX(등급!$C$5:$C$12,MATCH($D42,등급!$A$5:$A$12,0))</f>
        <v>0.0183</v>
      </c>
      <c r="I42" s="19" t="str">
        <f aca="false">장비_기본!J9</f>
        <v>① 도발 지속 +[값]초</v>
      </c>
      <c r="J42" s="20" t="n">
        <f aca="false">ROUND(장비_기본!K9*INDEX(등급!$F$5:$F$12,MATCH($D42,등급!$A$5:$A$12,0)),1)</f>
        <v>0.7</v>
      </c>
      <c r="K42" s="19" t="n">
        <f aca="false">INDEX(등급!$D$5:$D$12,MATCH($D42,등급!$A$5:$A$12,0))</f>
        <v>4</v>
      </c>
      <c r="L42" s="19" t="str">
        <f aca="false">IF(INDEX(등급!$H$5:$H$12,MATCH($D42,등급!$A$5:$A$12,0))=0,"-",IF(INDEX(등급!$G$5:$G$12,MATCH($D42,등급!$A$5:$A$12,0))=INDEX(등급!$H$5:$H$12,MATCH($D42,등급!$A$5:$A$12,0)),INDEX(등급!$G$5:$G$12,MATCH($D42,등급!$A$5:$A$12,0))&amp;"칸",INDEX(등급!$G$5:$G$12,MATCH($D42,등급!$A$5:$A$12,0))&amp;"~"&amp;INDEX(등급!$H$5:$H$12,MATCH($D42,등급!$A$5:$A$12,0))&amp;"칸"))</f>
        <v>-</v>
      </c>
      <c r="M42" s="19" t="str">
        <f aca="false">IF(INDEX(등급!$J$5:$J$12,MATCH($D42,등급!$A$5:$A$12,0))=0,"-",IF(INDEX(등급!$I$5:$I$12,MATCH($D42,등급!$A$5:$A$12,0))=INDEX(등급!$J$5:$J$12,MATCH($D42,등급!$A$5:$A$12,0)),INDEX(등급!$I$5:$I$12,MATCH($D42,등급!$A$5:$A$12,0))&amp;"개",INDEX(등급!$I$5:$I$12,MATCH($D42,등급!$A$5:$A$12,0))&amp;"~"&amp;INDEX(등급!$J$5:$J$12,MATCH($D42,등급!$A$5:$A$12,0))&amp;"개"))</f>
        <v>-</v>
      </c>
      <c r="N42" s="19" t="str">
        <f aca="false">IF(INDEX(등급!$L$5:$L$12,MATCH($D42,등급!$A$5:$A$12,0))=0,"-",INDEX(등급!$K$5:$K$12,MATCH($D42,등급!$A$5:$A$12,0))&amp;"~"&amp;INDEX(등급!$L$5:$L$12,MATCH($D42,등급!$A$5:$A$12,0))&amp;"개")</f>
        <v>-</v>
      </c>
    </row>
    <row r="43" customFormat="false" ht="15" hidden="false" customHeight="false" outlineLevel="0" collapsed="false">
      <c r="A43" s="19" t="str">
        <f aca="false">장비_기본!B9</f>
        <v>맹세의 사슬갑</v>
      </c>
      <c r="B43" s="19" t="str">
        <f aca="false">장비_기본!C9</f>
        <v>갑옷</v>
      </c>
      <c r="C43" s="19" t="str">
        <f aca="false">장비_기본!D9</f>
        <v>탱커</v>
      </c>
      <c r="D43" s="8" t="s">
        <v>49</v>
      </c>
      <c r="E43" s="19" t="str">
        <f aca="false">장비_기본!F9</f>
        <v>체력</v>
      </c>
      <c r="F43" s="20" t="n">
        <f aca="false">장비_기본!G9*INDEX(등급!$C$5:$C$12,MATCH($D43,등급!$A$5:$A$12,0))</f>
        <v>166.4</v>
      </c>
      <c r="G43" s="19" t="str">
        <f aca="false">장비_기본!H9</f>
        <v>받는 피해 감소</v>
      </c>
      <c r="H43" s="21" t="n">
        <f aca="false">장비_기본!I9*INDEX(등급!$C$5:$C$12,MATCH($D43,등급!$A$5:$A$12,0))</f>
        <v>0.0192</v>
      </c>
      <c r="I43" s="19" t="str">
        <f aca="false">장비_기본!J9</f>
        <v>① 도발 지속 +[값]초</v>
      </c>
      <c r="J43" s="20" t="n">
        <f aca="false">ROUND(장비_기본!K9*INDEX(등급!$F$5:$F$12,MATCH($D43,등급!$A$5:$A$12,0)),1)</f>
        <v>0.8</v>
      </c>
      <c r="K43" s="19" t="n">
        <f aca="false">INDEX(등급!$D$5:$D$12,MATCH($D43,등급!$A$5:$A$12,0))</f>
        <v>4</v>
      </c>
      <c r="L43" s="19" t="str">
        <f aca="false">IF(INDEX(등급!$H$5:$H$12,MATCH($D43,등급!$A$5:$A$12,0))=0,"-",IF(INDEX(등급!$G$5:$G$12,MATCH($D43,등급!$A$5:$A$12,0))=INDEX(등급!$H$5:$H$12,MATCH($D43,등급!$A$5:$A$12,0)),INDEX(등급!$G$5:$G$12,MATCH($D43,등급!$A$5:$A$12,0))&amp;"칸",INDEX(등급!$G$5:$G$12,MATCH($D43,등급!$A$5:$A$12,0))&amp;"~"&amp;INDEX(등급!$H$5:$H$12,MATCH($D43,등급!$A$5:$A$12,0))&amp;"칸"))</f>
        <v>1칸</v>
      </c>
      <c r="M43" s="19" t="str">
        <f aca="false">IF(INDEX(등급!$J$5:$J$12,MATCH($D43,등급!$A$5:$A$12,0))=0,"-",IF(INDEX(등급!$I$5:$I$12,MATCH($D43,등급!$A$5:$A$12,0))=INDEX(등급!$J$5:$J$12,MATCH($D43,등급!$A$5:$A$12,0)),INDEX(등급!$I$5:$I$12,MATCH($D43,등급!$A$5:$A$12,0))&amp;"개",INDEX(등급!$I$5:$I$12,MATCH($D43,등급!$A$5:$A$12,0))&amp;"~"&amp;INDEX(등급!$J$5:$J$12,MATCH($D43,등급!$A$5:$A$12,0))&amp;"개"))</f>
        <v>0~1개</v>
      </c>
      <c r="N43" s="19" t="str">
        <f aca="false">IF(INDEX(등급!$L$5:$L$12,MATCH($D43,등급!$A$5:$A$12,0))=0,"-",INDEX(등급!$K$5:$K$12,MATCH($D43,등급!$A$5:$A$12,0))&amp;"~"&amp;INDEX(등급!$L$5:$L$12,MATCH($D43,등급!$A$5:$A$12,0))&amp;"개")</f>
        <v>0~1개</v>
      </c>
    </row>
    <row r="44" customFormat="false" ht="15" hidden="false" customHeight="false" outlineLevel="0" collapsed="false">
      <c r="A44" s="19" t="str">
        <f aca="false">장비_기본!B9</f>
        <v>맹세의 사슬갑</v>
      </c>
      <c r="B44" s="19" t="str">
        <f aca="false">장비_기본!C9</f>
        <v>갑옷</v>
      </c>
      <c r="C44" s="19" t="str">
        <f aca="false">장비_기본!D9</f>
        <v>탱커</v>
      </c>
      <c r="D44" s="8" t="s">
        <v>51</v>
      </c>
      <c r="E44" s="19" t="str">
        <f aca="false">장비_기본!F9</f>
        <v>체력</v>
      </c>
      <c r="F44" s="20" t="n">
        <f aca="false">장비_기본!G9*INDEX(등급!$C$5:$C$12,MATCH($D44,등급!$A$5:$A$12,0))</f>
        <v>171.6</v>
      </c>
      <c r="G44" s="19" t="str">
        <f aca="false">장비_기본!H9</f>
        <v>받는 피해 감소</v>
      </c>
      <c r="H44" s="21" t="n">
        <f aca="false">장비_기본!I9*INDEX(등급!$C$5:$C$12,MATCH($D44,등급!$A$5:$A$12,0))</f>
        <v>0.0198</v>
      </c>
      <c r="I44" s="19" t="str">
        <f aca="false">장비_기본!J9</f>
        <v>① 도발 지속 +[값]초</v>
      </c>
      <c r="J44" s="20" t="n">
        <f aca="false">ROUND(장비_기본!K9*INDEX(등급!$F$5:$F$12,MATCH($D44,등급!$A$5:$A$12,0)),1)</f>
        <v>0.9</v>
      </c>
      <c r="K44" s="19" t="n">
        <f aca="false">INDEX(등급!$D$5:$D$12,MATCH($D44,등급!$A$5:$A$12,0))</f>
        <v>4</v>
      </c>
      <c r="L44" s="19" t="str">
        <f aca="false">IF(INDEX(등급!$H$5:$H$12,MATCH($D44,등급!$A$5:$A$12,0))=0,"-",IF(INDEX(등급!$G$5:$G$12,MATCH($D44,등급!$A$5:$A$12,0))=INDEX(등급!$H$5:$H$12,MATCH($D44,등급!$A$5:$A$12,0)),INDEX(등급!$G$5:$G$12,MATCH($D44,등급!$A$5:$A$12,0))&amp;"칸",INDEX(등급!$G$5:$G$12,MATCH($D44,등급!$A$5:$A$12,0))&amp;"~"&amp;INDEX(등급!$H$5:$H$12,MATCH($D44,등급!$A$5:$A$12,0))&amp;"칸"))</f>
        <v>1~3칸</v>
      </c>
      <c r="M44" s="19" t="str">
        <f aca="false">IF(INDEX(등급!$J$5:$J$12,MATCH($D44,등급!$A$5:$A$12,0))=0,"-",IF(INDEX(등급!$I$5:$I$12,MATCH($D44,등급!$A$5:$A$12,0))=INDEX(등급!$J$5:$J$12,MATCH($D44,등급!$A$5:$A$12,0)),INDEX(등급!$I$5:$I$12,MATCH($D44,등급!$A$5:$A$12,0))&amp;"개",INDEX(등급!$I$5:$I$12,MATCH($D44,등급!$A$5:$A$12,0))&amp;"~"&amp;INDEX(등급!$J$5:$J$12,MATCH($D44,등급!$A$5:$A$12,0))&amp;"개"))</f>
        <v>1개</v>
      </c>
      <c r="N44" s="19" t="str">
        <f aca="false">IF(INDEX(등급!$L$5:$L$12,MATCH($D44,등급!$A$5:$A$12,0))=0,"-",INDEX(등급!$K$5:$K$12,MATCH($D44,등급!$A$5:$A$12,0))&amp;"~"&amp;INDEX(등급!$L$5:$L$12,MATCH($D44,등급!$A$5:$A$12,0))&amp;"개")</f>
        <v>0~2개</v>
      </c>
    </row>
    <row r="45" customFormat="false" ht="15" hidden="false" customHeight="false" outlineLevel="0" collapsed="false">
      <c r="A45" s="19" t="str">
        <f aca="false">장비_기본!B10</f>
        <v>가시 갑옷</v>
      </c>
      <c r="B45" s="19" t="str">
        <f aca="false">장비_기본!C10</f>
        <v>갑옷</v>
      </c>
      <c r="C45" s="19" t="str">
        <f aca="false">장비_기본!D10</f>
        <v>탱커</v>
      </c>
      <c r="D45" s="8" t="s">
        <v>43</v>
      </c>
      <c r="E45" s="19" t="str">
        <f aca="false">장비_기본!F10</f>
        <v>체력</v>
      </c>
      <c r="F45" s="20" t="n">
        <f aca="false">장비_기본!G10*INDEX(등급!$C$5:$C$12,MATCH($D45,등급!$A$5:$A$12,0))</f>
        <v>52</v>
      </c>
      <c r="G45" s="19" t="str">
        <f aca="false">장비_기본!H10</f>
        <v>받는 피해 감소</v>
      </c>
      <c r="H45" s="21" t="n">
        <f aca="false">장비_기본!I10*INDEX(등급!$C$5:$C$12,MATCH($D45,등급!$A$5:$A$12,0))</f>
        <v>0.006</v>
      </c>
      <c r="I45" s="19" t="str">
        <f aca="false">장비_기본!J10</f>
        <v>받은 근접 피해의 [값]% 반사</v>
      </c>
      <c r="J45" s="20" t="n">
        <f aca="false">ROUND(장비_기본!K10*INDEX(등급!$F$5:$F$12,MATCH($D45,등급!$A$5:$A$12,0)),1)</f>
        <v>5</v>
      </c>
      <c r="K45" s="19" t="n">
        <f aca="false">INDEX(등급!$D$5:$D$12,MATCH($D45,등급!$A$5:$A$12,0))</f>
        <v>0</v>
      </c>
      <c r="L45" s="19" t="str">
        <f aca="false">IF(INDEX(등급!$H$5:$H$12,MATCH($D45,등급!$A$5:$A$12,0))=0,"-",IF(INDEX(등급!$G$5:$G$12,MATCH($D45,등급!$A$5:$A$12,0))=INDEX(등급!$H$5:$H$12,MATCH($D45,등급!$A$5:$A$12,0)),INDEX(등급!$G$5:$G$12,MATCH($D45,등급!$A$5:$A$12,0))&amp;"칸",INDEX(등급!$G$5:$G$12,MATCH($D45,등급!$A$5:$A$12,0))&amp;"~"&amp;INDEX(등급!$H$5:$H$12,MATCH($D45,등급!$A$5:$A$12,0))&amp;"칸"))</f>
        <v>-</v>
      </c>
      <c r="M45" s="19" t="str">
        <f aca="false">IF(INDEX(등급!$J$5:$J$12,MATCH($D45,등급!$A$5:$A$12,0))=0,"-",IF(INDEX(등급!$I$5:$I$12,MATCH($D45,등급!$A$5:$A$12,0))=INDEX(등급!$J$5:$J$12,MATCH($D45,등급!$A$5:$A$12,0)),INDEX(등급!$I$5:$I$12,MATCH($D45,등급!$A$5:$A$12,0))&amp;"개",INDEX(등급!$I$5:$I$12,MATCH($D45,등급!$A$5:$A$12,0))&amp;"~"&amp;INDEX(등급!$J$5:$J$12,MATCH($D45,등급!$A$5:$A$12,0))&amp;"개"))</f>
        <v>-</v>
      </c>
      <c r="N45" s="19" t="str">
        <f aca="false">IF(INDEX(등급!$L$5:$L$12,MATCH($D45,등급!$A$5:$A$12,0))=0,"-",INDEX(등급!$K$5:$K$12,MATCH($D45,등급!$A$5:$A$12,0))&amp;"~"&amp;INDEX(등급!$L$5:$L$12,MATCH($D45,등급!$A$5:$A$12,0))&amp;"개")</f>
        <v>-</v>
      </c>
    </row>
    <row r="46" customFormat="false" ht="15" hidden="false" customHeight="false" outlineLevel="0" collapsed="false">
      <c r="A46" s="19" t="str">
        <f aca="false">장비_기본!B10</f>
        <v>가시 갑옷</v>
      </c>
      <c r="B46" s="19" t="str">
        <f aca="false">장비_기본!C10</f>
        <v>갑옷</v>
      </c>
      <c r="C46" s="19" t="str">
        <f aca="false">장비_기본!D10</f>
        <v>탱커</v>
      </c>
      <c r="D46" s="8" t="s">
        <v>44</v>
      </c>
      <c r="E46" s="19" t="str">
        <f aca="false">장비_기본!F10</f>
        <v>체력</v>
      </c>
      <c r="F46" s="20" t="n">
        <f aca="false">장비_기본!G10*INDEX(등급!$C$5:$C$12,MATCH($D46,등급!$A$5:$A$12,0))</f>
        <v>75.4</v>
      </c>
      <c r="G46" s="19" t="str">
        <f aca="false">장비_기본!H10</f>
        <v>받는 피해 감소</v>
      </c>
      <c r="H46" s="21" t="n">
        <f aca="false">장비_기본!I10*INDEX(등급!$C$5:$C$12,MATCH($D46,등급!$A$5:$A$12,0))</f>
        <v>0.0087</v>
      </c>
      <c r="I46" s="19" t="str">
        <f aca="false">장비_기본!J10</f>
        <v>받은 근접 피해의 [값]% 반사</v>
      </c>
      <c r="J46" s="20" t="n">
        <f aca="false">ROUND(장비_기본!K10*INDEX(등급!$F$5:$F$12,MATCH($D46,등급!$A$5:$A$12,0)),1)</f>
        <v>6.8</v>
      </c>
      <c r="K46" s="19" t="n">
        <f aca="false">INDEX(등급!$D$5:$D$12,MATCH($D46,등급!$A$5:$A$12,0))</f>
        <v>0</v>
      </c>
      <c r="L46" s="19" t="str">
        <f aca="false">IF(INDEX(등급!$H$5:$H$12,MATCH($D46,등급!$A$5:$A$12,0))=0,"-",IF(INDEX(등급!$G$5:$G$12,MATCH($D46,등급!$A$5:$A$12,0))=INDEX(등급!$H$5:$H$12,MATCH($D46,등급!$A$5:$A$12,0)),INDEX(등급!$G$5:$G$12,MATCH($D46,등급!$A$5:$A$12,0))&amp;"칸",INDEX(등급!$G$5:$G$12,MATCH($D46,등급!$A$5:$A$12,0))&amp;"~"&amp;INDEX(등급!$H$5:$H$12,MATCH($D46,등급!$A$5:$A$12,0))&amp;"칸"))</f>
        <v>-</v>
      </c>
      <c r="M46" s="19" t="str">
        <f aca="false">IF(INDEX(등급!$J$5:$J$12,MATCH($D46,등급!$A$5:$A$12,0))=0,"-",IF(INDEX(등급!$I$5:$I$12,MATCH($D46,등급!$A$5:$A$12,0))=INDEX(등급!$J$5:$J$12,MATCH($D46,등급!$A$5:$A$12,0)),INDEX(등급!$I$5:$I$12,MATCH($D46,등급!$A$5:$A$12,0))&amp;"개",INDEX(등급!$I$5:$I$12,MATCH($D46,등급!$A$5:$A$12,0))&amp;"~"&amp;INDEX(등급!$J$5:$J$12,MATCH($D46,등급!$A$5:$A$12,0))&amp;"개"))</f>
        <v>-</v>
      </c>
      <c r="N46" s="19" t="str">
        <f aca="false">IF(INDEX(등급!$L$5:$L$12,MATCH($D46,등급!$A$5:$A$12,0))=0,"-",INDEX(등급!$K$5:$K$12,MATCH($D46,등급!$A$5:$A$12,0))&amp;"~"&amp;INDEX(등급!$L$5:$L$12,MATCH($D46,등급!$A$5:$A$12,0))&amp;"개")</f>
        <v>-</v>
      </c>
    </row>
    <row r="47" customFormat="false" ht="15" hidden="false" customHeight="false" outlineLevel="0" collapsed="false">
      <c r="A47" s="19" t="str">
        <f aca="false">장비_기본!B10</f>
        <v>가시 갑옷</v>
      </c>
      <c r="B47" s="19" t="str">
        <f aca="false">장비_기본!C10</f>
        <v>갑옷</v>
      </c>
      <c r="C47" s="19" t="str">
        <f aca="false">장비_기본!D10</f>
        <v>탱커</v>
      </c>
      <c r="D47" s="8" t="s">
        <v>45</v>
      </c>
      <c r="E47" s="19" t="str">
        <f aca="false">장비_기본!F10</f>
        <v>체력</v>
      </c>
      <c r="F47" s="20" t="n">
        <f aca="false">장비_기본!G10*INDEX(등급!$C$5:$C$12,MATCH($D47,등급!$A$5:$A$12,0))</f>
        <v>88.4</v>
      </c>
      <c r="G47" s="19" t="str">
        <f aca="false">장비_기본!H10</f>
        <v>받는 피해 감소</v>
      </c>
      <c r="H47" s="21" t="n">
        <f aca="false">장비_기본!I10*INDEX(등급!$C$5:$C$12,MATCH($D47,등급!$A$5:$A$12,0))</f>
        <v>0.0102</v>
      </c>
      <c r="I47" s="19" t="str">
        <f aca="false">장비_기본!J10</f>
        <v>받은 근접 피해의 [값]% 반사</v>
      </c>
      <c r="J47" s="20" t="n">
        <f aca="false">ROUND(장비_기본!K10*INDEX(등급!$F$5:$F$12,MATCH($D47,등급!$A$5:$A$12,0)),1)</f>
        <v>7.5</v>
      </c>
      <c r="K47" s="19" t="n">
        <f aca="false">INDEX(등급!$D$5:$D$12,MATCH($D47,등급!$A$5:$A$12,0))</f>
        <v>1</v>
      </c>
      <c r="L47" s="19" t="str">
        <f aca="false">IF(INDEX(등급!$H$5:$H$12,MATCH($D47,등급!$A$5:$A$12,0))=0,"-",IF(INDEX(등급!$G$5:$G$12,MATCH($D47,등급!$A$5:$A$12,0))=INDEX(등급!$H$5:$H$12,MATCH($D47,등급!$A$5:$A$12,0)),INDEX(등급!$G$5:$G$12,MATCH($D47,등급!$A$5:$A$12,0))&amp;"칸",INDEX(등급!$G$5:$G$12,MATCH($D47,등급!$A$5:$A$12,0))&amp;"~"&amp;INDEX(등급!$H$5:$H$12,MATCH($D47,등급!$A$5:$A$12,0))&amp;"칸"))</f>
        <v>-</v>
      </c>
      <c r="M47" s="19" t="str">
        <f aca="false">IF(INDEX(등급!$J$5:$J$12,MATCH($D47,등급!$A$5:$A$12,0))=0,"-",IF(INDEX(등급!$I$5:$I$12,MATCH($D47,등급!$A$5:$A$12,0))=INDEX(등급!$J$5:$J$12,MATCH($D47,등급!$A$5:$A$12,0)),INDEX(등급!$I$5:$I$12,MATCH($D47,등급!$A$5:$A$12,0))&amp;"개",INDEX(등급!$I$5:$I$12,MATCH($D47,등급!$A$5:$A$12,0))&amp;"~"&amp;INDEX(등급!$J$5:$J$12,MATCH($D47,등급!$A$5:$A$12,0))&amp;"개"))</f>
        <v>-</v>
      </c>
      <c r="N47" s="19" t="str">
        <f aca="false">IF(INDEX(등급!$L$5:$L$12,MATCH($D47,등급!$A$5:$A$12,0))=0,"-",INDEX(등급!$K$5:$K$12,MATCH($D47,등급!$A$5:$A$12,0))&amp;"~"&amp;INDEX(등급!$L$5:$L$12,MATCH($D47,등급!$A$5:$A$12,0))&amp;"개")</f>
        <v>-</v>
      </c>
    </row>
    <row r="48" customFormat="false" ht="15" hidden="false" customHeight="false" outlineLevel="0" collapsed="false">
      <c r="A48" s="19" t="str">
        <f aca="false">장비_기본!B10</f>
        <v>가시 갑옷</v>
      </c>
      <c r="B48" s="19" t="str">
        <f aca="false">장비_기본!C10</f>
        <v>갑옷</v>
      </c>
      <c r="C48" s="19" t="str">
        <f aca="false">장비_기본!D10</f>
        <v>탱커</v>
      </c>
      <c r="D48" s="8" t="s">
        <v>46</v>
      </c>
      <c r="E48" s="19" t="str">
        <f aca="false">장비_기본!F10</f>
        <v>체력</v>
      </c>
      <c r="F48" s="20" t="n">
        <f aca="false">장비_기본!G10*INDEX(등급!$C$5:$C$12,MATCH($D48,등급!$A$5:$A$12,0))</f>
        <v>109.2</v>
      </c>
      <c r="G48" s="19" t="str">
        <f aca="false">장비_기본!H10</f>
        <v>받는 피해 감소</v>
      </c>
      <c r="H48" s="21" t="n">
        <f aca="false">장비_기본!I10*INDEX(등급!$C$5:$C$12,MATCH($D48,등급!$A$5:$A$12,0))</f>
        <v>0.0126</v>
      </c>
      <c r="I48" s="19" t="str">
        <f aca="false">장비_기본!J10</f>
        <v>받은 근접 피해의 [값]% 반사</v>
      </c>
      <c r="J48" s="20" t="n">
        <f aca="false">ROUND(장비_기본!K10*INDEX(등급!$F$5:$F$12,MATCH($D48,등급!$A$5:$A$12,0)),1)</f>
        <v>8.8</v>
      </c>
      <c r="K48" s="19" t="n">
        <f aca="false">INDEX(등급!$D$5:$D$12,MATCH($D48,등급!$A$5:$A$12,0))</f>
        <v>2</v>
      </c>
      <c r="L48" s="19" t="str">
        <f aca="false">IF(INDEX(등급!$H$5:$H$12,MATCH($D48,등급!$A$5:$A$12,0))=0,"-",IF(INDEX(등급!$G$5:$G$12,MATCH($D48,등급!$A$5:$A$12,0))=INDEX(등급!$H$5:$H$12,MATCH($D48,등급!$A$5:$A$12,0)),INDEX(등급!$G$5:$G$12,MATCH($D48,등급!$A$5:$A$12,0))&amp;"칸",INDEX(등급!$G$5:$G$12,MATCH($D48,등급!$A$5:$A$12,0))&amp;"~"&amp;INDEX(등급!$H$5:$H$12,MATCH($D48,등급!$A$5:$A$12,0))&amp;"칸"))</f>
        <v>-</v>
      </c>
      <c r="M48" s="19" t="str">
        <f aca="false">IF(INDEX(등급!$J$5:$J$12,MATCH($D48,등급!$A$5:$A$12,0))=0,"-",IF(INDEX(등급!$I$5:$I$12,MATCH($D48,등급!$A$5:$A$12,0))=INDEX(등급!$J$5:$J$12,MATCH($D48,등급!$A$5:$A$12,0)),INDEX(등급!$I$5:$I$12,MATCH($D48,등급!$A$5:$A$12,0))&amp;"개",INDEX(등급!$I$5:$I$12,MATCH($D48,등급!$A$5:$A$12,0))&amp;"~"&amp;INDEX(등급!$J$5:$J$12,MATCH($D48,등급!$A$5:$A$12,0))&amp;"개"))</f>
        <v>-</v>
      </c>
      <c r="N48" s="19" t="str">
        <f aca="false">IF(INDEX(등급!$L$5:$L$12,MATCH($D48,등급!$A$5:$A$12,0))=0,"-",INDEX(등급!$K$5:$K$12,MATCH($D48,등급!$A$5:$A$12,0))&amp;"~"&amp;INDEX(등급!$L$5:$L$12,MATCH($D48,등급!$A$5:$A$12,0))&amp;"개")</f>
        <v>-</v>
      </c>
    </row>
    <row r="49" customFormat="false" ht="15" hidden="false" customHeight="false" outlineLevel="0" collapsed="false">
      <c r="A49" s="19" t="str">
        <f aca="false">장비_기본!B10</f>
        <v>가시 갑옷</v>
      </c>
      <c r="B49" s="19" t="str">
        <f aca="false">장비_기본!C10</f>
        <v>갑옷</v>
      </c>
      <c r="C49" s="19" t="str">
        <f aca="false">장비_기본!D10</f>
        <v>탱커</v>
      </c>
      <c r="D49" s="8" t="s">
        <v>47</v>
      </c>
      <c r="E49" s="19" t="str">
        <f aca="false">장비_기본!F10</f>
        <v>체력</v>
      </c>
      <c r="F49" s="20" t="n">
        <f aca="false">장비_기본!G10*INDEX(등급!$C$5:$C$12,MATCH($D49,등급!$A$5:$A$12,0))</f>
        <v>132.6</v>
      </c>
      <c r="G49" s="19" t="str">
        <f aca="false">장비_기본!H10</f>
        <v>받는 피해 감소</v>
      </c>
      <c r="H49" s="21" t="n">
        <f aca="false">장비_기본!I10*INDEX(등급!$C$5:$C$12,MATCH($D49,등급!$A$5:$A$12,0))</f>
        <v>0.0153</v>
      </c>
      <c r="I49" s="19" t="str">
        <f aca="false">장비_기본!J10</f>
        <v>받은 근접 피해의 [값]% 반사</v>
      </c>
      <c r="J49" s="20" t="n">
        <f aca="false">ROUND(장비_기본!K10*INDEX(등급!$F$5:$F$12,MATCH($D49,등급!$A$5:$A$12,0)),1)</f>
        <v>10</v>
      </c>
      <c r="K49" s="19" t="n">
        <f aca="false">INDEX(등급!$D$5:$D$12,MATCH($D49,등급!$A$5:$A$12,0))</f>
        <v>3</v>
      </c>
      <c r="L49" s="19" t="str">
        <f aca="false">IF(INDEX(등급!$H$5:$H$12,MATCH($D49,등급!$A$5:$A$12,0))=0,"-",IF(INDEX(등급!$G$5:$G$12,MATCH($D49,등급!$A$5:$A$12,0))=INDEX(등급!$H$5:$H$12,MATCH($D49,등급!$A$5:$A$12,0)),INDEX(등급!$G$5:$G$12,MATCH($D49,등급!$A$5:$A$12,0))&amp;"칸",INDEX(등급!$G$5:$G$12,MATCH($D49,등급!$A$5:$A$12,0))&amp;"~"&amp;INDEX(등급!$H$5:$H$12,MATCH($D49,등급!$A$5:$A$12,0))&amp;"칸"))</f>
        <v>-</v>
      </c>
      <c r="M49" s="19" t="str">
        <f aca="false">IF(INDEX(등급!$J$5:$J$12,MATCH($D49,등급!$A$5:$A$12,0))=0,"-",IF(INDEX(등급!$I$5:$I$12,MATCH($D49,등급!$A$5:$A$12,0))=INDEX(등급!$J$5:$J$12,MATCH($D49,등급!$A$5:$A$12,0)),INDEX(등급!$I$5:$I$12,MATCH($D49,등급!$A$5:$A$12,0))&amp;"개",INDEX(등급!$I$5:$I$12,MATCH($D49,등급!$A$5:$A$12,0))&amp;"~"&amp;INDEX(등급!$J$5:$J$12,MATCH($D49,등급!$A$5:$A$12,0))&amp;"개"))</f>
        <v>-</v>
      </c>
      <c r="N49" s="19" t="str">
        <f aca="false">IF(INDEX(등급!$L$5:$L$12,MATCH($D49,등급!$A$5:$A$12,0))=0,"-",INDEX(등급!$K$5:$K$12,MATCH($D49,등급!$A$5:$A$12,0))&amp;"~"&amp;INDEX(등급!$L$5:$L$12,MATCH($D49,등급!$A$5:$A$12,0))&amp;"개")</f>
        <v>-</v>
      </c>
    </row>
    <row r="50" customFormat="false" ht="15" hidden="false" customHeight="false" outlineLevel="0" collapsed="false">
      <c r="A50" s="19" t="str">
        <f aca="false">장비_기본!B10</f>
        <v>가시 갑옷</v>
      </c>
      <c r="B50" s="19" t="str">
        <f aca="false">장비_기본!C10</f>
        <v>갑옷</v>
      </c>
      <c r="C50" s="19" t="str">
        <f aca="false">장비_기본!D10</f>
        <v>탱커</v>
      </c>
      <c r="D50" s="8" t="s">
        <v>48</v>
      </c>
      <c r="E50" s="19" t="str">
        <f aca="false">장비_기본!F10</f>
        <v>체력</v>
      </c>
      <c r="F50" s="20" t="n">
        <f aca="false">장비_기본!G10*INDEX(등급!$C$5:$C$12,MATCH($D50,등급!$A$5:$A$12,0))</f>
        <v>158.6</v>
      </c>
      <c r="G50" s="19" t="str">
        <f aca="false">장비_기본!H10</f>
        <v>받는 피해 감소</v>
      </c>
      <c r="H50" s="21" t="n">
        <f aca="false">장비_기본!I10*INDEX(등급!$C$5:$C$12,MATCH($D50,등급!$A$5:$A$12,0))</f>
        <v>0.0183</v>
      </c>
      <c r="I50" s="19" t="str">
        <f aca="false">장비_기본!J10</f>
        <v>받은 근접 피해의 [값]% 반사</v>
      </c>
      <c r="J50" s="20" t="n">
        <f aca="false">ROUND(장비_기본!K10*INDEX(등급!$F$5:$F$12,MATCH($D50,등급!$A$5:$A$12,0)),1)</f>
        <v>11.5</v>
      </c>
      <c r="K50" s="19" t="n">
        <f aca="false">INDEX(등급!$D$5:$D$12,MATCH($D50,등급!$A$5:$A$12,0))</f>
        <v>4</v>
      </c>
      <c r="L50" s="19" t="str">
        <f aca="false">IF(INDEX(등급!$H$5:$H$12,MATCH($D50,등급!$A$5:$A$12,0))=0,"-",IF(INDEX(등급!$G$5:$G$12,MATCH($D50,등급!$A$5:$A$12,0))=INDEX(등급!$H$5:$H$12,MATCH($D50,등급!$A$5:$A$12,0)),INDEX(등급!$G$5:$G$12,MATCH($D50,등급!$A$5:$A$12,0))&amp;"칸",INDEX(등급!$G$5:$G$12,MATCH($D50,등급!$A$5:$A$12,0))&amp;"~"&amp;INDEX(등급!$H$5:$H$12,MATCH($D50,등급!$A$5:$A$12,0))&amp;"칸"))</f>
        <v>-</v>
      </c>
      <c r="M50" s="19" t="str">
        <f aca="false">IF(INDEX(등급!$J$5:$J$12,MATCH($D50,등급!$A$5:$A$12,0))=0,"-",IF(INDEX(등급!$I$5:$I$12,MATCH($D50,등급!$A$5:$A$12,0))=INDEX(등급!$J$5:$J$12,MATCH($D50,등급!$A$5:$A$12,0)),INDEX(등급!$I$5:$I$12,MATCH($D50,등급!$A$5:$A$12,0))&amp;"개",INDEX(등급!$I$5:$I$12,MATCH($D50,등급!$A$5:$A$12,0))&amp;"~"&amp;INDEX(등급!$J$5:$J$12,MATCH($D50,등급!$A$5:$A$12,0))&amp;"개"))</f>
        <v>-</v>
      </c>
      <c r="N50" s="19" t="str">
        <f aca="false">IF(INDEX(등급!$L$5:$L$12,MATCH($D50,등급!$A$5:$A$12,0))=0,"-",INDEX(등급!$K$5:$K$12,MATCH($D50,등급!$A$5:$A$12,0))&amp;"~"&amp;INDEX(등급!$L$5:$L$12,MATCH($D50,등급!$A$5:$A$12,0))&amp;"개")</f>
        <v>-</v>
      </c>
    </row>
    <row r="51" customFormat="false" ht="15" hidden="false" customHeight="false" outlineLevel="0" collapsed="false">
      <c r="A51" s="19" t="str">
        <f aca="false">장비_기본!B10</f>
        <v>가시 갑옷</v>
      </c>
      <c r="B51" s="19" t="str">
        <f aca="false">장비_기본!C10</f>
        <v>갑옷</v>
      </c>
      <c r="C51" s="19" t="str">
        <f aca="false">장비_기본!D10</f>
        <v>탱커</v>
      </c>
      <c r="D51" s="8" t="s">
        <v>49</v>
      </c>
      <c r="E51" s="19" t="str">
        <f aca="false">장비_기본!F10</f>
        <v>체력</v>
      </c>
      <c r="F51" s="20" t="n">
        <f aca="false">장비_기본!G10*INDEX(등급!$C$5:$C$12,MATCH($D51,등급!$A$5:$A$12,0))</f>
        <v>166.4</v>
      </c>
      <c r="G51" s="19" t="str">
        <f aca="false">장비_기본!H10</f>
        <v>받는 피해 감소</v>
      </c>
      <c r="H51" s="21" t="n">
        <f aca="false">장비_기본!I10*INDEX(등급!$C$5:$C$12,MATCH($D51,등급!$A$5:$A$12,0))</f>
        <v>0.0192</v>
      </c>
      <c r="I51" s="19" t="str">
        <f aca="false">장비_기본!J10</f>
        <v>받은 근접 피해의 [값]% 반사</v>
      </c>
      <c r="J51" s="20" t="n">
        <f aca="false">ROUND(장비_기본!K10*INDEX(등급!$F$5:$F$12,MATCH($D51,등급!$A$5:$A$12,0)),1)</f>
        <v>13.3</v>
      </c>
      <c r="K51" s="19" t="n">
        <f aca="false">INDEX(등급!$D$5:$D$12,MATCH($D51,등급!$A$5:$A$12,0))</f>
        <v>4</v>
      </c>
      <c r="L51" s="19" t="str">
        <f aca="false">IF(INDEX(등급!$H$5:$H$12,MATCH($D51,등급!$A$5:$A$12,0))=0,"-",IF(INDEX(등급!$G$5:$G$12,MATCH($D51,등급!$A$5:$A$12,0))=INDEX(등급!$H$5:$H$12,MATCH($D51,등급!$A$5:$A$12,0)),INDEX(등급!$G$5:$G$12,MATCH($D51,등급!$A$5:$A$12,0))&amp;"칸",INDEX(등급!$G$5:$G$12,MATCH($D51,등급!$A$5:$A$12,0))&amp;"~"&amp;INDEX(등급!$H$5:$H$12,MATCH($D51,등급!$A$5:$A$12,0))&amp;"칸"))</f>
        <v>1칸</v>
      </c>
      <c r="M51" s="19" t="str">
        <f aca="false">IF(INDEX(등급!$J$5:$J$12,MATCH($D51,등급!$A$5:$A$12,0))=0,"-",IF(INDEX(등급!$I$5:$I$12,MATCH($D51,등급!$A$5:$A$12,0))=INDEX(등급!$J$5:$J$12,MATCH($D51,등급!$A$5:$A$12,0)),INDEX(등급!$I$5:$I$12,MATCH($D51,등급!$A$5:$A$12,0))&amp;"개",INDEX(등급!$I$5:$I$12,MATCH($D51,등급!$A$5:$A$12,0))&amp;"~"&amp;INDEX(등급!$J$5:$J$12,MATCH($D51,등급!$A$5:$A$12,0))&amp;"개"))</f>
        <v>0~1개</v>
      </c>
      <c r="N51" s="19" t="str">
        <f aca="false">IF(INDEX(등급!$L$5:$L$12,MATCH($D51,등급!$A$5:$A$12,0))=0,"-",INDEX(등급!$K$5:$K$12,MATCH($D51,등급!$A$5:$A$12,0))&amp;"~"&amp;INDEX(등급!$L$5:$L$12,MATCH($D51,등급!$A$5:$A$12,0))&amp;"개")</f>
        <v>0~1개</v>
      </c>
    </row>
    <row r="52" customFormat="false" ht="15" hidden="false" customHeight="false" outlineLevel="0" collapsed="false">
      <c r="A52" s="19" t="str">
        <f aca="false">장비_기본!B10</f>
        <v>가시 갑옷</v>
      </c>
      <c r="B52" s="19" t="str">
        <f aca="false">장비_기본!C10</f>
        <v>갑옷</v>
      </c>
      <c r="C52" s="19" t="str">
        <f aca="false">장비_기본!D10</f>
        <v>탱커</v>
      </c>
      <c r="D52" s="8" t="s">
        <v>51</v>
      </c>
      <c r="E52" s="19" t="str">
        <f aca="false">장비_기본!F10</f>
        <v>체력</v>
      </c>
      <c r="F52" s="20" t="n">
        <f aca="false">장비_기본!G10*INDEX(등급!$C$5:$C$12,MATCH($D52,등급!$A$5:$A$12,0))</f>
        <v>171.6</v>
      </c>
      <c r="G52" s="19" t="str">
        <f aca="false">장비_기본!H10</f>
        <v>받는 피해 감소</v>
      </c>
      <c r="H52" s="21" t="n">
        <f aca="false">장비_기본!I10*INDEX(등급!$C$5:$C$12,MATCH($D52,등급!$A$5:$A$12,0))</f>
        <v>0.0198</v>
      </c>
      <c r="I52" s="19" t="str">
        <f aca="false">장비_기본!J10</f>
        <v>받은 근접 피해의 [값]% 반사</v>
      </c>
      <c r="J52" s="20" t="n">
        <f aca="false">ROUND(장비_기본!K10*INDEX(등급!$F$5:$F$12,MATCH($D52,등급!$A$5:$A$12,0)),1)</f>
        <v>15</v>
      </c>
      <c r="K52" s="19" t="n">
        <f aca="false">INDEX(등급!$D$5:$D$12,MATCH($D52,등급!$A$5:$A$12,0))</f>
        <v>4</v>
      </c>
      <c r="L52" s="19" t="str">
        <f aca="false">IF(INDEX(등급!$H$5:$H$12,MATCH($D52,등급!$A$5:$A$12,0))=0,"-",IF(INDEX(등급!$G$5:$G$12,MATCH($D52,등급!$A$5:$A$12,0))=INDEX(등급!$H$5:$H$12,MATCH($D52,등급!$A$5:$A$12,0)),INDEX(등급!$G$5:$G$12,MATCH($D52,등급!$A$5:$A$12,0))&amp;"칸",INDEX(등급!$G$5:$G$12,MATCH($D52,등급!$A$5:$A$12,0))&amp;"~"&amp;INDEX(등급!$H$5:$H$12,MATCH($D52,등급!$A$5:$A$12,0))&amp;"칸"))</f>
        <v>1~3칸</v>
      </c>
      <c r="M52" s="19" t="str">
        <f aca="false">IF(INDEX(등급!$J$5:$J$12,MATCH($D52,등급!$A$5:$A$12,0))=0,"-",IF(INDEX(등급!$I$5:$I$12,MATCH($D52,등급!$A$5:$A$12,0))=INDEX(등급!$J$5:$J$12,MATCH($D52,등급!$A$5:$A$12,0)),INDEX(등급!$I$5:$I$12,MATCH($D52,등급!$A$5:$A$12,0))&amp;"개",INDEX(등급!$I$5:$I$12,MATCH($D52,등급!$A$5:$A$12,0))&amp;"~"&amp;INDEX(등급!$J$5:$J$12,MATCH($D52,등급!$A$5:$A$12,0))&amp;"개"))</f>
        <v>1개</v>
      </c>
      <c r="N52" s="19" t="str">
        <f aca="false">IF(INDEX(등급!$L$5:$L$12,MATCH($D52,등급!$A$5:$A$12,0))=0,"-",INDEX(등급!$K$5:$K$12,MATCH($D52,등급!$A$5:$A$12,0))&amp;"~"&amp;INDEX(등급!$L$5:$L$12,MATCH($D52,등급!$A$5:$A$12,0))&amp;"개")</f>
        <v>0~2개</v>
      </c>
    </row>
    <row r="53" customFormat="false" ht="15" hidden="false" customHeight="false" outlineLevel="0" collapsed="false">
      <c r="A53" s="19" t="str">
        <f aca="false">장비_기본!B11</f>
        <v>불굴의 소울 메달</v>
      </c>
      <c r="B53" s="19" t="str">
        <f aca="false">장비_기본!C11</f>
        <v>소울 메달</v>
      </c>
      <c r="C53" s="19" t="str">
        <f aca="false">장비_기본!D11</f>
        <v>탱커</v>
      </c>
      <c r="D53" s="8" t="s">
        <v>43</v>
      </c>
      <c r="E53" s="19" t="str">
        <f aca="false">장비_기본!F11</f>
        <v>받는 피해 감소</v>
      </c>
      <c r="F53" s="21" t="n">
        <f aca="false">장비_기본!G11*INDEX(등급!$C$5:$C$12,MATCH($D53,등급!$A$5:$A$12,0))</f>
        <v>0.012</v>
      </c>
      <c r="G53" s="19" t="str">
        <f aca="false">장비_기본!H11</f>
        <v>① 스킬 위력</v>
      </c>
      <c r="H53" s="21" t="n">
        <f aca="false">장비_기본!I11*INDEX(등급!$C$5:$C$12,MATCH($D53,등급!$A$5:$A$12,0))</f>
        <v>0.1</v>
      </c>
      <c r="I53" s="13" t="s">
        <v>78</v>
      </c>
      <c r="J53" s="12"/>
      <c r="K53" s="19" t="n">
        <f aca="false">INDEX(등급!$D$5:$D$12,MATCH($D53,등급!$A$5:$A$12,0))</f>
        <v>0</v>
      </c>
      <c r="L53" s="19" t="str">
        <f aca="false">IF(INDEX(등급!$H$5:$H$12,MATCH($D53,등급!$A$5:$A$12,0))=0,"-",IF(INDEX(등급!$G$5:$G$12,MATCH($D53,등급!$A$5:$A$12,0))=INDEX(등급!$H$5:$H$12,MATCH($D53,등급!$A$5:$A$12,0)),INDEX(등급!$G$5:$G$12,MATCH($D53,등급!$A$5:$A$12,0))&amp;"칸",INDEX(등급!$G$5:$G$12,MATCH($D53,등급!$A$5:$A$12,0))&amp;"~"&amp;INDEX(등급!$H$5:$H$12,MATCH($D53,등급!$A$5:$A$12,0))&amp;"칸"))</f>
        <v>-</v>
      </c>
      <c r="M53" s="19" t="str">
        <f aca="false">IF(INDEX(등급!$J$5:$J$12,MATCH($D53,등급!$A$5:$A$12,0))=0,"-",IF(INDEX(등급!$I$5:$I$12,MATCH($D53,등급!$A$5:$A$12,0))=INDEX(등급!$J$5:$J$12,MATCH($D53,등급!$A$5:$A$12,0)),INDEX(등급!$I$5:$I$12,MATCH($D53,등급!$A$5:$A$12,0))&amp;"개",INDEX(등급!$I$5:$I$12,MATCH($D53,등급!$A$5:$A$12,0))&amp;"~"&amp;INDEX(등급!$J$5:$J$12,MATCH($D53,등급!$A$5:$A$12,0))&amp;"개"))</f>
        <v>-</v>
      </c>
      <c r="N53" s="19" t="str">
        <f aca="false">IF(INDEX(등급!$L$5:$L$12,MATCH($D53,등급!$A$5:$A$12,0))=0,"-",INDEX(등급!$K$5:$K$12,MATCH($D53,등급!$A$5:$A$12,0))&amp;"~"&amp;INDEX(등급!$L$5:$L$12,MATCH($D53,등급!$A$5:$A$12,0))&amp;"개")</f>
        <v>-</v>
      </c>
    </row>
    <row r="54" customFormat="false" ht="15" hidden="false" customHeight="false" outlineLevel="0" collapsed="false">
      <c r="A54" s="19" t="str">
        <f aca="false">장비_기본!B11</f>
        <v>불굴의 소울 메달</v>
      </c>
      <c r="B54" s="19" t="str">
        <f aca="false">장비_기본!C11</f>
        <v>소울 메달</v>
      </c>
      <c r="C54" s="19" t="str">
        <f aca="false">장비_기본!D11</f>
        <v>탱커</v>
      </c>
      <c r="D54" s="8" t="s">
        <v>44</v>
      </c>
      <c r="E54" s="19" t="str">
        <f aca="false">장비_기본!F11</f>
        <v>받는 피해 감소</v>
      </c>
      <c r="F54" s="21" t="n">
        <f aca="false">장비_기본!G11*INDEX(등급!$C$5:$C$12,MATCH($D54,등급!$A$5:$A$12,0))</f>
        <v>0.0174</v>
      </c>
      <c r="G54" s="19" t="str">
        <f aca="false">장비_기본!H11</f>
        <v>① 스킬 위력</v>
      </c>
      <c r="H54" s="21" t="n">
        <f aca="false">장비_기본!I11*INDEX(등급!$C$5:$C$12,MATCH($D54,등급!$A$5:$A$12,0))</f>
        <v>0.145</v>
      </c>
      <c r="I54" s="13" t="s">
        <v>78</v>
      </c>
      <c r="J54" s="12"/>
      <c r="K54" s="19" t="n">
        <f aca="false">INDEX(등급!$D$5:$D$12,MATCH($D54,등급!$A$5:$A$12,0))</f>
        <v>0</v>
      </c>
      <c r="L54" s="19" t="str">
        <f aca="false">IF(INDEX(등급!$H$5:$H$12,MATCH($D54,등급!$A$5:$A$12,0))=0,"-",IF(INDEX(등급!$G$5:$G$12,MATCH($D54,등급!$A$5:$A$12,0))=INDEX(등급!$H$5:$H$12,MATCH($D54,등급!$A$5:$A$12,0)),INDEX(등급!$G$5:$G$12,MATCH($D54,등급!$A$5:$A$12,0))&amp;"칸",INDEX(등급!$G$5:$G$12,MATCH($D54,등급!$A$5:$A$12,0))&amp;"~"&amp;INDEX(등급!$H$5:$H$12,MATCH($D54,등급!$A$5:$A$12,0))&amp;"칸"))</f>
        <v>-</v>
      </c>
      <c r="M54" s="19" t="str">
        <f aca="false">IF(INDEX(등급!$J$5:$J$12,MATCH($D54,등급!$A$5:$A$12,0))=0,"-",IF(INDEX(등급!$I$5:$I$12,MATCH($D54,등급!$A$5:$A$12,0))=INDEX(등급!$J$5:$J$12,MATCH($D54,등급!$A$5:$A$12,0)),INDEX(등급!$I$5:$I$12,MATCH($D54,등급!$A$5:$A$12,0))&amp;"개",INDEX(등급!$I$5:$I$12,MATCH($D54,등급!$A$5:$A$12,0))&amp;"~"&amp;INDEX(등급!$J$5:$J$12,MATCH($D54,등급!$A$5:$A$12,0))&amp;"개"))</f>
        <v>-</v>
      </c>
      <c r="N54" s="19" t="str">
        <f aca="false">IF(INDEX(등급!$L$5:$L$12,MATCH($D54,등급!$A$5:$A$12,0))=0,"-",INDEX(등급!$K$5:$K$12,MATCH($D54,등급!$A$5:$A$12,0))&amp;"~"&amp;INDEX(등급!$L$5:$L$12,MATCH($D54,등급!$A$5:$A$12,0))&amp;"개")</f>
        <v>-</v>
      </c>
    </row>
    <row r="55" customFormat="false" ht="15" hidden="false" customHeight="false" outlineLevel="0" collapsed="false">
      <c r="A55" s="19" t="str">
        <f aca="false">장비_기본!B11</f>
        <v>불굴의 소울 메달</v>
      </c>
      <c r="B55" s="19" t="str">
        <f aca="false">장비_기본!C11</f>
        <v>소울 메달</v>
      </c>
      <c r="C55" s="19" t="str">
        <f aca="false">장비_기본!D11</f>
        <v>탱커</v>
      </c>
      <c r="D55" s="8" t="s">
        <v>45</v>
      </c>
      <c r="E55" s="19" t="str">
        <f aca="false">장비_기본!F11</f>
        <v>받는 피해 감소</v>
      </c>
      <c r="F55" s="21" t="n">
        <f aca="false">장비_기본!G11*INDEX(등급!$C$5:$C$12,MATCH($D55,등급!$A$5:$A$12,0))</f>
        <v>0.0204</v>
      </c>
      <c r="G55" s="19" t="str">
        <f aca="false">장비_기본!H11</f>
        <v>① 스킬 위력</v>
      </c>
      <c r="H55" s="21" t="n">
        <f aca="false">장비_기본!I11*INDEX(등급!$C$5:$C$12,MATCH($D55,등급!$A$5:$A$12,0))</f>
        <v>0.17</v>
      </c>
      <c r="I55" s="13" t="s">
        <v>78</v>
      </c>
      <c r="J55" s="12"/>
      <c r="K55" s="19" t="n">
        <f aca="false">INDEX(등급!$D$5:$D$12,MATCH($D55,등급!$A$5:$A$12,0))</f>
        <v>1</v>
      </c>
      <c r="L55" s="19" t="str">
        <f aca="false">IF(INDEX(등급!$H$5:$H$12,MATCH($D55,등급!$A$5:$A$12,0))=0,"-",IF(INDEX(등급!$G$5:$G$12,MATCH($D55,등급!$A$5:$A$12,0))=INDEX(등급!$H$5:$H$12,MATCH($D55,등급!$A$5:$A$12,0)),INDEX(등급!$G$5:$G$12,MATCH($D55,등급!$A$5:$A$12,0))&amp;"칸",INDEX(등급!$G$5:$G$12,MATCH($D55,등급!$A$5:$A$12,0))&amp;"~"&amp;INDEX(등급!$H$5:$H$12,MATCH($D55,등급!$A$5:$A$12,0))&amp;"칸"))</f>
        <v>-</v>
      </c>
      <c r="M55" s="19" t="str">
        <f aca="false">IF(INDEX(등급!$J$5:$J$12,MATCH($D55,등급!$A$5:$A$12,0))=0,"-",IF(INDEX(등급!$I$5:$I$12,MATCH($D55,등급!$A$5:$A$12,0))=INDEX(등급!$J$5:$J$12,MATCH($D55,등급!$A$5:$A$12,0)),INDEX(등급!$I$5:$I$12,MATCH($D55,등급!$A$5:$A$12,0))&amp;"개",INDEX(등급!$I$5:$I$12,MATCH($D55,등급!$A$5:$A$12,0))&amp;"~"&amp;INDEX(등급!$J$5:$J$12,MATCH($D55,등급!$A$5:$A$12,0))&amp;"개"))</f>
        <v>-</v>
      </c>
      <c r="N55" s="19" t="str">
        <f aca="false">IF(INDEX(등급!$L$5:$L$12,MATCH($D55,등급!$A$5:$A$12,0))=0,"-",INDEX(등급!$K$5:$K$12,MATCH($D55,등급!$A$5:$A$12,0))&amp;"~"&amp;INDEX(등급!$L$5:$L$12,MATCH($D55,등급!$A$5:$A$12,0))&amp;"개")</f>
        <v>-</v>
      </c>
    </row>
    <row r="56" customFormat="false" ht="15" hidden="false" customHeight="false" outlineLevel="0" collapsed="false">
      <c r="A56" s="19" t="str">
        <f aca="false">장비_기본!B11</f>
        <v>불굴의 소울 메달</v>
      </c>
      <c r="B56" s="19" t="str">
        <f aca="false">장비_기본!C11</f>
        <v>소울 메달</v>
      </c>
      <c r="C56" s="19" t="str">
        <f aca="false">장비_기본!D11</f>
        <v>탱커</v>
      </c>
      <c r="D56" s="8" t="s">
        <v>46</v>
      </c>
      <c r="E56" s="19" t="str">
        <f aca="false">장비_기본!F11</f>
        <v>받는 피해 감소</v>
      </c>
      <c r="F56" s="21" t="n">
        <f aca="false">장비_기본!G11*INDEX(등급!$C$5:$C$12,MATCH($D56,등급!$A$5:$A$12,0))</f>
        <v>0.0252</v>
      </c>
      <c r="G56" s="19" t="str">
        <f aca="false">장비_기본!H11</f>
        <v>① 스킬 위력</v>
      </c>
      <c r="H56" s="21" t="n">
        <f aca="false">장비_기본!I11*INDEX(등급!$C$5:$C$12,MATCH($D56,등급!$A$5:$A$12,0))</f>
        <v>0.21</v>
      </c>
      <c r="I56" s="13" t="s">
        <v>78</v>
      </c>
      <c r="J56" s="12"/>
      <c r="K56" s="19" t="n">
        <f aca="false">INDEX(등급!$D$5:$D$12,MATCH($D56,등급!$A$5:$A$12,0))</f>
        <v>2</v>
      </c>
      <c r="L56" s="19" t="str">
        <f aca="false">IF(INDEX(등급!$H$5:$H$12,MATCH($D56,등급!$A$5:$A$12,0))=0,"-",IF(INDEX(등급!$G$5:$G$12,MATCH($D56,등급!$A$5:$A$12,0))=INDEX(등급!$H$5:$H$12,MATCH($D56,등급!$A$5:$A$12,0)),INDEX(등급!$G$5:$G$12,MATCH($D56,등급!$A$5:$A$12,0))&amp;"칸",INDEX(등급!$G$5:$G$12,MATCH($D56,등급!$A$5:$A$12,0))&amp;"~"&amp;INDEX(등급!$H$5:$H$12,MATCH($D56,등급!$A$5:$A$12,0))&amp;"칸"))</f>
        <v>-</v>
      </c>
      <c r="M56" s="19" t="str">
        <f aca="false">IF(INDEX(등급!$J$5:$J$12,MATCH($D56,등급!$A$5:$A$12,0))=0,"-",IF(INDEX(등급!$I$5:$I$12,MATCH($D56,등급!$A$5:$A$12,0))=INDEX(등급!$J$5:$J$12,MATCH($D56,등급!$A$5:$A$12,0)),INDEX(등급!$I$5:$I$12,MATCH($D56,등급!$A$5:$A$12,0))&amp;"개",INDEX(등급!$I$5:$I$12,MATCH($D56,등급!$A$5:$A$12,0))&amp;"~"&amp;INDEX(등급!$J$5:$J$12,MATCH($D56,등급!$A$5:$A$12,0))&amp;"개"))</f>
        <v>-</v>
      </c>
      <c r="N56" s="19" t="str">
        <f aca="false">IF(INDEX(등급!$L$5:$L$12,MATCH($D56,등급!$A$5:$A$12,0))=0,"-",INDEX(등급!$K$5:$K$12,MATCH($D56,등급!$A$5:$A$12,0))&amp;"~"&amp;INDEX(등급!$L$5:$L$12,MATCH($D56,등급!$A$5:$A$12,0))&amp;"개")</f>
        <v>-</v>
      </c>
    </row>
    <row r="57" customFormat="false" ht="15" hidden="false" customHeight="false" outlineLevel="0" collapsed="false">
      <c r="A57" s="19" t="str">
        <f aca="false">장비_기본!B11</f>
        <v>불굴의 소울 메달</v>
      </c>
      <c r="B57" s="19" t="str">
        <f aca="false">장비_기본!C11</f>
        <v>소울 메달</v>
      </c>
      <c r="C57" s="19" t="str">
        <f aca="false">장비_기본!D11</f>
        <v>탱커</v>
      </c>
      <c r="D57" s="8" t="s">
        <v>47</v>
      </c>
      <c r="E57" s="19" t="str">
        <f aca="false">장비_기본!F11</f>
        <v>받는 피해 감소</v>
      </c>
      <c r="F57" s="21" t="n">
        <f aca="false">장비_기본!G11*INDEX(등급!$C$5:$C$12,MATCH($D57,등급!$A$5:$A$12,0))</f>
        <v>0.0306</v>
      </c>
      <c r="G57" s="19" t="str">
        <f aca="false">장비_기본!H11</f>
        <v>① 스킬 위력</v>
      </c>
      <c r="H57" s="21" t="n">
        <f aca="false">장비_기본!I11*INDEX(등급!$C$5:$C$12,MATCH($D57,등급!$A$5:$A$12,0))</f>
        <v>0.255</v>
      </c>
      <c r="I57" s="13" t="s">
        <v>78</v>
      </c>
      <c r="J57" s="12"/>
      <c r="K57" s="19" t="n">
        <f aca="false">INDEX(등급!$D$5:$D$12,MATCH($D57,등급!$A$5:$A$12,0))</f>
        <v>3</v>
      </c>
      <c r="L57" s="19" t="str">
        <f aca="false">IF(INDEX(등급!$H$5:$H$12,MATCH($D57,등급!$A$5:$A$12,0))=0,"-",IF(INDEX(등급!$G$5:$G$12,MATCH($D57,등급!$A$5:$A$12,0))=INDEX(등급!$H$5:$H$12,MATCH($D57,등급!$A$5:$A$12,0)),INDEX(등급!$G$5:$G$12,MATCH($D57,등급!$A$5:$A$12,0))&amp;"칸",INDEX(등급!$G$5:$G$12,MATCH($D57,등급!$A$5:$A$12,0))&amp;"~"&amp;INDEX(등급!$H$5:$H$12,MATCH($D57,등급!$A$5:$A$12,0))&amp;"칸"))</f>
        <v>-</v>
      </c>
      <c r="M57" s="19" t="str">
        <f aca="false">IF(INDEX(등급!$J$5:$J$12,MATCH($D57,등급!$A$5:$A$12,0))=0,"-",IF(INDEX(등급!$I$5:$I$12,MATCH($D57,등급!$A$5:$A$12,0))=INDEX(등급!$J$5:$J$12,MATCH($D57,등급!$A$5:$A$12,0)),INDEX(등급!$I$5:$I$12,MATCH($D57,등급!$A$5:$A$12,0))&amp;"개",INDEX(등급!$I$5:$I$12,MATCH($D57,등급!$A$5:$A$12,0))&amp;"~"&amp;INDEX(등급!$J$5:$J$12,MATCH($D57,등급!$A$5:$A$12,0))&amp;"개"))</f>
        <v>-</v>
      </c>
      <c r="N57" s="19" t="str">
        <f aca="false">IF(INDEX(등급!$L$5:$L$12,MATCH($D57,등급!$A$5:$A$12,0))=0,"-",INDEX(등급!$K$5:$K$12,MATCH($D57,등급!$A$5:$A$12,0))&amp;"~"&amp;INDEX(등급!$L$5:$L$12,MATCH($D57,등급!$A$5:$A$12,0))&amp;"개")</f>
        <v>-</v>
      </c>
    </row>
    <row r="58" customFormat="false" ht="15" hidden="false" customHeight="false" outlineLevel="0" collapsed="false">
      <c r="A58" s="19" t="str">
        <f aca="false">장비_기본!B11</f>
        <v>불굴의 소울 메달</v>
      </c>
      <c r="B58" s="19" t="str">
        <f aca="false">장비_기본!C11</f>
        <v>소울 메달</v>
      </c>
      <c r="C58" s="19" t="str">
        <f aca="false">장비_기본!D11</f>
        <v>탱커</v>
      </c>
      <c r="D58" s="8" t="s">
        <v>48</v>
      </c>
      <c r="E58" s="19" t="str">
        <f aca="false">장비_기본!F11</f>
        <v>받는 피해 감소</v>
      </c>
      <c r="F58" s="21" t="n">
        <f aca="false">장비_기본!G11*INDEX(등급!$C$5:$C$12,MATCH($D58,등급!$A$5:$A$12,0))</f>
        <v>0.0366</v>
      </c>
      <c r="G58" s="19" t="str">
        <f aca="false">장비_기본!H11</f>
        <v>① 스킬 위력</v>
      </c>
      <c r="H58" s="21" t="n">
        <f aca="false">장비_기본!I11*INDEX(등급!$C$5:$C$12,MATCH($D58,등급!$A$5:$A$12,0))</f>
        <v>0.305</v>
      </c>
      <c r="I58" s="13" t="s">
        <v>78</v>
      </c>
      <c r="J58" s="12"/>
      <c r="K58" s="19" t="n">
        <f aca="false">INDEX(등급!$D$5:$D$12,MATCH($D58,등급!$A$5:$A$12,0))</f>
        <v>4</v>
      </c>
      <c r="L58" s="19" t="str">
        <f aca="false">IF(INDEX(등급!$H$5:$H$12,MATCH($D58,등급!$A$5:$A$12,0))=0,"-",IF(INDEX(등급!$G$5:$G$12,MATCH($D58,등급!$A$5:$A$12,0))=INDEX(등급!$H$5:$H$12,MATCH($D58,등급!$A$5:$A$12,0)),INDEX(등급!$G$5:$G$12,MATCH($D58,등급!$A$5:$A$12,0))&amp;"칸",INDEX(등급!$G$5:$G$12,MATCH($D58,등급!$A$5:$A$12,0))&amp;"~"&amp;INDEX(등급!$H$5:$H$12,MATCH($D58,등급!$A$5:$A$12,0))&amp;"칸"))</f>
        <v>-</v>
      </c>
      <c r="M58" s="19" t="str">
        <f aca="false">IF(INDEX(등급!$J$5:$J$12,MATCH($D58,등급!$A$5:$A$12,0))=0,"-",IF(INDEX(등급!$I$5:$I$12,MATCH($D58,등급!$A$5:$A$12,0))=INDEX(등급!$J$5:$J$12,MATCH($D58,등급!$A$5:$A$12,0)),INDEX(등급!$I$5:$I$12,MATCH($D58,등급!$A$5:$A$12,0))&amp;"개",INDEX(등급!$I$5:$I$12,MATCH($D58,등급!$A$5:$A$12,0))&amp;"~"&amp;INDEX(등급!$J$5:$J$12,MATCH($D58,등급!$A$5:$A$12,0))&amp;"개"))</f>
        <v>-</v>
      </c>
      <c r="N58" s="19" t="str">
        <f aca="false">IF(INDEX(등급!$L$5:$L$12,MATCH($D58,등급!$A$5:$A$12,0))=0,"-",INDEX(등급!$K$5:$K$12,MATCH($D58,등급!$A$5:$A$12,0))&amp;"~"&amp;INDEX(등급!$L$5:$L$12,MATCH($D58,등급!$A$5:$A$12,0))&amp;"개")</f>
        <v>-</v>
      </c>
    </row>
    <row r="59" customFormat="false" ht="15" hidden="false" customHeight="false" outlineLevel="0" collapsed="false">
      <c r="A59" s="19" t="str">
        <f aca="false">장비_기본!B11</f>
        <v>불굴의 소울 메달</v>
      </c>
      <c r="B59" s="19" t="str">
        <f aca="false">장비_기본!C11</f>
        <v>소울 메달</v>
      </c>
      <c r="C59" s="19" t="str">
        <f aca="false">장비_기본!D11</f>
        <v>탱커</v>
      </c>
      <c r="D59" s="8" t="s">
        <v>49</v>
      </c>
      <c r="E59" s="19" t="str">
        <f aca="false">장비_기본!F11</f>
        <v>받는 피해 감소</v>
      </c>
      <c r="F59" s="21" t="n">
        <f aca="false">장비_기본!G11*INDEX(등급!$C$5:$C$12,MATCH($D59,등급!$A$5:$A$12,0))</f>
        <v>0.0384</v>
      </c>
      <c r="G59" s="19" t="str">
        <f aca="false">장비_기본!H11</f>
        <v>① 스킬 위력</v>
      </c>
      <c r="H59" s="21" t="n">
        <f aca="false">장비_기본!I11*INDEX(등급!$C$5:$C$12,MATCH($D59,등급!$A$5:$A$12,0))</f>
        <v>0.32</v>
      </c>
      <c r="I59" s="13" t="s">
        <v>78</v>
      </c>
      <c r="J59" s="12"/>
      <c r="K59" s="19" t="n">
        <f aca="false">INDEX(등급!$D$5:$D$12,MATCH($D59,등급!$A$5:$A$12,0))</f>
        <v>4</v>
      </c>
      <c r="L59" s="19" t="str">
        <f aca="false">IF(INDEX(등급!$H$5:$H$12,MATCH($D59,등급!$A$5:$A$12,0))=0,"-",IF(INDEX(등급!$G$5:$G$12,MATCH($D59,등급!$A$5:$A$12,0))=INDEX(등급!$H$5:$H$12,MATCH($D59,등급!$A$5:$A$12,0)),INDEX(등급!$G$5:$G$12,MATCH($D59,등급!$A$5:$A$12,0))&amp;"칸",INDEX(등급!$G$5:$G$12,MATCH($D59,등급!$A$5:$A$12,0))&amp;"~"&amp;INDEX(등급!$H$5:$H$12,MATCH($D59,등급!$A$5:$A$12,0))&amp;"칸"))</f>
        <v>1칸</v>
      </c>
      <c r="M59" s="19" t="str">
        <f aca="false">IF(INDEX(등급!$J$5:$J$12,MATCH($D59,등급!$A$5:$A$12,0))=0,"-",IF(INDEX(등급!$I$5:$I$12,MATCH($D59,등급!$A$5:$A$12,0))=INDEX(등급!$J$5:$J$12,MATCH($D59,등급!$A$5:$A$12,0)),INDEX(등급!$I$5:$I$12,MATCH($D59,등급!$A$5:$A$12,0))&amp;"개",INDEX(등급!$I$5:$I$12,MATCH($D59,등급!$A$5:$A$12,0))&amp;"~"&amp;INDEX(등급!$J$5:$J$12,MATCH($D59,등급!$A$5:$A$12,0))&amp;"개"))</f>
        <v>0~1개</v>
      </c>
      <c r="N59" s="19" t="str">
        <f aca="false">IF(INDEX(등급!$L$5:$L$12,MATCH($D59,등급!$A$5:$A$12,0))=0,"-",INDEX(등급!$K$5:$K$12,MATCH($D59,등급!$A$5:$A$12,0))&amp;"~"&amp;INDEX(등급!$L$5:$L$12,MATCH($D59,등급!$A$5:$A$12,0))&amp;"개")</f>
        <v>0~1개</v>
      </c>
    </row>
    <row r="60" customFormat="false" ht="15" hidden="false" customHeight="false" outlineLevel="0" collapsed="false">
      <c r="A60" s="19" t="str">
        <f aca="false">장비_기본!B11</f>
        <v>불굴의 소울 메달</v>
      </c>
      <c r="B60" s="19" t="str">
        <f aca="false">장비_기본!C11</f>
        <v>소울 메달</v>
      </c>
      <c r="C60" s="19" t="str">
        <f aca="false">장비_기본!D11</f>
        <v>탱커</v>
      </c>
      <c r="D60" s="8" t="s">
        <v>51</v>
      </c>
      <c r="E60" s="19" t="str">
        <f aca="false">장비_기본!F11</f>
        <v>받는 피해 감소</v>
      </c>
      <c r="F60" s="21" t="n">
        <f aca="false">장비_기본!G11*INDEX(등급!$C$5:$C$12,MATCH($D60,등급!$A$5:$A$12,0))</f>
        <v>0.0396</v>
      </c>
      <c r="G60" s="19" t="str">
        <f aca="false">장비_기본!H11</f>
        <v>① 스킬 위력</v>
      </c>
      <c r="H60" s="21" t="n">
        <f aca="false">장비_기본!I11*INDEX(등급!$C$5:$C$12,MATCH($D60,등급!$A$5:$A$12,0))</f>
        <v>0.33</v>
      </c>
      <c r="I60" s="13" t="s">
        <v>78</v>
      </c>
      <c r="J60" s="12"/>
      <c r="K60" s="19" t="n">
        <f aca="false">INDEX(등급!$D$5:$D$12,MATCH($D60,등급!$A$5:$A$12,0))</f>
        <v>4</v>
      </c>
      <c r="L60" s="19" t="str">
        <f aca="false">IF(INDEX(등급!$H$5:$H$12,MATCH($D60,등급!$A$5:$A$12,0))=0,"-",IF(INDEX(등급!$G$5:$G$12,MATCH($D60,등급!$A$5:$A$12,0))=INDEX(등급!$H$5:$H$12,MATCH($D60,등급!$A$5:$A$12,0)),INDEX(등급!$G$5:$G$12,MATCH($D60,등급!$A$5:$A$12,0))&amp;"칸",INDEX(등급!$G$5:$G$12,MATCH($D60,등급!$A$5:$A$12,0))&amp;"~"&amp;INDEX(등급!$H$5:$H$12,MATCH($D60,등급!$A$5:$A$12,0))&amp;"칸"))</f>
        <v>1~3칸</v>
      </c>
      <c r="M60" s="19" t="str">
        <f aca="false">IF(INDEX(등급!$J$5:$J$12,MATCH($D60,등급!$A$5:$A$12,0))=0,"-",IF(INDEX(등급!$I$5:$I$12,MATCH($D60,등급!$A$5:$A$12,0))=INDEX(등급!$J$5:$J$12,MATCH($D60,등급!$A$5:$A$12,0)),INDEX(등급!$I$5:$I$12,MATCH($D60,등급!$A$5:$A$12,0))&amp;"개",INDEX(등급!$I$5:$I$12,MATCH($D60,등급!$A$5:$A$12,0))&amp;"~"&amp;INDEX(등급!$J$5:$J$12,MATCH($D60,등급!$A$5:$A$12,0))&amp;"개"))</f>
        <v>1개</v>
      </c>
      <c r="N60" s="19" t="str">
        <f aca="false">IF(INDEX(등급!$L$5:$L$12,MATCH($D60,등급!$A$5:$A$12,0))=0,"-",INDEX(등급!$K$5:$K$12,MATCH($D60,등급!$A$5:$A$12,0))&amp;"~"&amp;INDEX(등급!$L$5:$L$12,MATCH($D60,등급!$A$5:$A$12,0))&amp;"개")</f>
        <v>0~2개</v>
      </c>
    </row>
    <row r="61" customFormat="false" ht="15" hidden="false" customHeight="false" outlineLevel="0" collapsed="false">
      <c r="A61" s="19" t="str">
        <f aca="false">장비_기본!B12</f>
        <v>수호성의 소울 메달</v>
      </c>
      <c r="B61" s="19" t="str">
        <f aca="false">장비_기본!C12</f>
        <v>소울 메달</v>
      </c>
      <c r="C61" s="19" t="str">
        <f aca="false">장비_기본!D12</f>
        <v>탱커</v>
      </c>
      <c r="D61" s="8" t="s">
        <v>43</v>
      </c>
      <c r="E61" s="19" t="str">
        <f aca="false">장비_기본!F12</f>
        <v>받는 피해 감소</v>
      </c>
      <c r="F61" s="21" t="n">
        <f aca="false">장비_기본!G12*INDEX(등급!$C$5:$C$12,MATCH($D61,등급!$A$5:$A$12,0))</f>
        <v>0.012</v>
      </c>
      <c r="G61" s="19" t="str">
        <f aca="false">장비_기본!H12</f>
        <v>② 스킬 위력</v>
      </c>
      <c r="H61" s="21" t="n">
        <f aca="false">장비_기본!I12*INDEX(등급!$C$5:$C$12,MATCH($D61,등급!$A$5:$A$12,0))</f>
        <v>0.1</v>
      </c>
      <c r="I61" s="13" t="s">
        <v>78</v>
      </c>
      <c r="J61" s="12"/>
      <c r="K61" s="19" t="n">
        <f aca="false">INDEX(등급!$D$5:$D$12,MATCH($D61,등급!$A$5:$A$12,0))</f>
        <v>0</v>
      </c>
      <c r="L61" s="19" t="str">
        <f aca="false">IF(INDEX(등급!$H$5:$H$12,MATCH($D61,등급!$A$5:$A$12,0))=0,"-",IF(INDEX(등급!$G$5:$G$12,MATCH($D61,등급!$A$5:$A$12,0))=INDEX(등급!$H$5:$H$12,MATCH($D61,등급!$A$5:$A$12,0)),INDEX(등급!$G$5:$G$12,MATCH($D61,등급!$A$5:$A$12,0))&amp;"칸",INDEX(등급!$G$5:$G$12,MATCH($D61,등급!$A$5:$A$12,0))&amp;"~"&amp;INDEX(등급!$H$5:$H$12,MATCH($D61,등급!$A$5:$A$12,0))&amp;"칸"))</f>
        <v>-</v>
      </c>
      <c r="M61" s="19" t="str">
        <f aca="false">IF(INDEX(등급!$J$5:$J$12,MATCH($D61,등급!$A$5:$A$12,0))=0,"-",IF(INDEX(등급!$I$5:$I$12,MATCH($D61,등급!$A$5:$A$12,0))=INDEX(등급!$J$5:$J$12,MATCH($D61,등급!$A$5:$A$12,0)),INDEX(등급!$I$5:$I$12,MATCH($D61,등급!$A$5:$A$12,0))&amp;"개",INDEX(등급!$I$5:$I$12,MATCH($D61,등급!$A$5:$A$12,0))&amp;"~"&amp;INDEX(등급!$J$5:$J$12,MATCH($D61,등급!$A$5:$A$12,0))&amp;"개"))</f>
        <v>-</v>
      </c>
      <c r="N61" s="19" t="str">
        <f aca="false">IF(INDEX(등급!$L$5:$L$12,MATCH($D61,등급!$A$5:$A$12,0))=0,"-",INDEX(등급!$K$5:$K$12,MATCH($D61,등급!$A$5:$A$12,0))&amp;"~"&amp;INDEX(등급!$L$5:$L$12,MATCH($D61,등급!$A$5:$A$12,0))&amp;"개")</f>
        <v>-</v>
      </c>
    </row>
    <row r="62" customFormat="false" ht="15" hidden="false" customHeight="false" outlineLevel="0" collapsed="false">
      <c r="A62" s="19" t="str">
        <f aca="false">장비_기본!B12</f>
        <v>수호성의 소울 메달</v>
      </c>
      <c r="B62" s="19" t="str">
        <f aca="false">장비_기본!C12</f>
        <v>소울 메달</v>
      </c>
      <c r="C62" s="19" t="str">
        <f aca="false">장비_기본!D12</f>
        <v>탱커</v>
      </c>
      <c r="D62" s="8" t="s">
        <v>44</v>
      </c>
      <c r="E62" s="19" t="str">
        <f aca="false">장비_기본!F12</f>
        <v>받는 피해 감소</v>
      </c>
      <c r="F62" s="21" t="n">
        <f aca="false">장비_기본!G12*INDEX(등급!$C$5:$C$12,MATCH($D62,등급!$A$5:$A$12,0))</f>
        <v>0.0174</v>
      </c>
      <c r="G62" s="19" t="str">
        <f aca="false">장비_기본!H12</f>
        <v>② 스킬 위력</v>
      </c>
      <c r="H62" s="21" t="n">
        <f aca="false">장비_기본!I12*INDEX(등급!$C$5:$C$12,MATCH($D62,등급!$A$5:$A$12,0))</f>
        <v>0.145</v>
      </c>
      <c r="I62" s="13" t="s">
        <v>78</v>
      </c>
      <c r="J62" s="12"/>
      <c r="K62" s="19" t="n">
        <f aca="false">INDEX(등급!$D$5:$D$12,MATCH($D62,등급!$A$5:$A$12,0))</f>
        <v>0</v>
      </c>
      <c r="L62" s="19" t="str">
        <f aca="false">IF(INDEX(등급!$H$5:$H$12,MATCH($D62,등급!$A$5:$A$12,0))=0,"-",IF(INDEX(등급!$G$5:$G$12,MATCH($D62,등급!$A$5:$A$12,0))=INDEX(등급!$H$5:$H$12,MATCH($D62,등급!$A$5:$A$12,0)),INDEX(등급!$G$5:$G$12,MATCH($D62,등급!$A$5:$A$12,0))&amp;"칸",INDEX(등급!$G$5:$G$12,MATCH($D62,등급!$A$5:$A$12,0))&amp;"~"&amp;INDEX(등급!$H$5:$H$12,MATCH($D62,등급!$A$5:$A$12,0))&amp;"칸"))</f>
        <v>-</v>
      </c>
      <c r="M62" s="19" t="str">
        <f aca="false">IF(INDEX(등급!$J$5:$J$12,MATCH($D62,등급!$A$5:$A$12,0))=0,"-",IF(INDEX(등급!$I$5:$I$12,MATCH($D62,등급!$A$5:$A$12,0))=INDEX(등급!$J$5:$J$12,MATCH($D62,등급!$A$5:$A$12,0)),INDEX(등급!$I$5:$I$12,MATCH($D62,등급!$A$5:$A$12,0))&amp;"개",INDEX(등급!$I$5:$I$12,MATCH($D62,등급!$A$5:$A$12,0))&amp;"~"&amp;INDEX(등급!$J$5:$J$12,MATCH($D62,등급!$A$5:$A$12,0))&amp;"개"))</f>
        <v>-</v>
      </c>
      <c r="N62" s="19" t="str">
        <f aca="false">IF(INDEX(등급!$L$5:$L$12,MATCH($D62,등급!$A$5:$A$12,0))=0,"-",INDEX(등급!$K$5:$K$12,MATCH($D62,등급!$A$5:$A$12,0))&amp;"~"&amp;INDEX(등급!$L$5:$L$12,MATCH($D62,등급!$A$5:$A$12,0))&amp;"개")</f>
        <v>-</v>
      </c>
    </row>
    <row r="63" customFormat="false" ht="15" hidden="false" customHeight="false" outlineLevel="0" collapsed="false">
      <c r="A63" s="19" t="str">
        <f aca="false">장비_기본!B12</f>
        <v>수호성의 소울 메달</v>
      </c>
      <c r="B63" s="19" t="str">
        <f aca="false">장비_기본!C12</f>
        <v>소울 메달</v>
      </c>
      <c r="C63" s="19" t="str">
        <f aca="false">장비_기본!D12</f>
        <v>탱커</v>
      </c>
      <c r="D63" s="8" t="s">
        <v>45</v>
      </c>
      <c r="E63" s="19" t="str">
        <f aca="false">장비_기본!F12</f>
        <v>받는 피해 감소</v>
      </c>
      <c r="F63" s="21" t="n">
        <f aca="false">장비_기본!G12*INDEX(등급!$C$5:$C$12,MATCH($D63,등급!$A$5:$A$12,0))</f>
        <v>0.0204</v>
      </c>
      <c r="G63" s="19" t="str">
        <f aca="false">장비_기본!H12</f>
        <v>② 스킬 위력</v>
      </c>
      <c r="H63" s="21" t="n">
        <f aca="false">장비_기본!I12*INDEX(등급!$C$5:$C$12,MATCH($D63,등급!$A$5:$A$12,0))</f>
        <v>0.17</v>
      </c>
      <c r="I63" s="13" t="s">
        <v>78</v>
      </c>
      <c r="J63" s="12"/>
      <c r="K63" s="19" t="n">
        <f aca="false">INDEX(등급!$D$5:$D$12,MATCH($D63,등급!$A$5:$A$12,0))</f>
        <v>1</v>
      </c>
      <c r="L63" s="19" t="str">
        <f aca="false">IF(INDEX(등급!$H$5:$H$12,MATCH($D63,등급!$A$5:$A$12,0))=0,"-",IF(INDEX(등급!$G$5:$G$12,MATCH($D63,등급!$A$5:$A$12,0))=INDEX(등급!$H$5:$H$12,MATCH($D63,등급!$A$5:$A$12,0)),INDEX(등급!$G$5:$G$12,MATCH($D63,등급!$A$5:$A$12,0))&amp;"칸",INDEX(등급!$G$5:$G$12,MATCH($D63,등급!$A$5:$A$12,0))&amp;"~"&amp;INDEX(등급!$H$5:$H$12,MATCH($D63,등급!$A$5:$A$12,0))&amp;"칸"))</f>
        <v>-</v>
      </c>
      <c r="M63" s="19" t="str">
        <f aca="false">IF(INDEX(등급!$J$5:$J$12,MATCH($D63,등급!$A$5:$A$12,0))=0,"-",IF(INDEX(등급!$I$5:$I$12,MATCH($D63,등급!$A$5:$A$12,0))=INDEX(등급!$J$5:$J$12,MATCH($D63,등급!$A$5:$A$12,0)),INDEX(등급!$I$5:$I$12,MATCH($D63,등급!$A$5:$A$12,0))&amp;"개",INDEX(등급!$I$5:$I$12,MATCH($D63,등급!$A$5:$A$12,0))&amp;"~"&amp;INDEX(등급!$J$5:$J$12,MATCH($D63,등급!$A$5:$A$12,0))&amp;"개"))</f>
        <v>-</v>
      </c>
      <c r="N63" s="19" t="str">
        <f aca="false">IF(INDEX(등급!$L$5:$L$12,MATCH($D63,등급!$A$5:$A$12,0))=0,"-",INDEX(등급!$K$5:$K$12,MATCH($D63,등급!$A$5:$A$12,0))&amp;"~"&amp;INDEX(등급!$L$5:$L$12,MATCH($D63,등급!$A$5:$A$12,0))&amp;"개")</f>
        <v>-</v>
      </c>
    </row>
    <row r="64" customFormat="false" ht="15" hidden="false" customHeight="false" outlineLevel="0" collapsed="false">
      <c r="A64" s="19" t="str">
        <f aca="false">장비_기본!B12</f>
        <v>수호성의 소울 메달</v>
      </c>
      <c r="B64" s="19" t="str">
        <f aca="false">장비_기본!C12</f>
        <v>소울 메달</v>
      </c>
      <c r="C64" s="19" t="str">
        <f aca="false">장비_기본!D12</f>
        <v>탱커</v>
      </c>
      <c r="D64" s="8" t="s">
        <v>46</v>
      </c>
      <c r="E64" s="19" t="str">
        <f aca="false">장비_기본!F12</f>
        <v>받는 피해 감소</v>
      </c>
      <c r="F64" s="21" t="n">
        <f aca="false">장비_기본!G12*INDEX(등급!$C$5:$C$12,MATCH($D64,등급!$A$5:$A$12,0))</f>
        <v>0.0252</v>
      </c>
      <c r="G64" s="19" t="str">
        <f aca="false">장비_기본!H12</f>
        <v>② 스킬 위력</v>
      </c>
      <c r="H64" s="21" t="n">
        <f aca="false">장비_기본!I12*INDEX(등급!$C$5:$C$12,MATCH($D64,등급!$A$5:$A$12,0))</f>
        <v>0.21</v>
      </c>
      <c r="I64" s="13" t="s">
        <v>78</v>
      </c>
      <c r="J64" s="12"/>
      <c r="K64" s="19" t="n">
        <f aca="false">INDEX(등급!$D$5:$D$12,MATCH($D64,등급!$A$5:$A$12,0))</f>
        <v>2</v>
      </c>
      <c r="L64" s="19" t="str">
        <f aca="false">IF(INDEX(등급!$H$5:$H$12,MATCH($D64,등급!$A$5:$A$12,0))=0,"-",IF(INDEX(등급!$G$5:$G$12,MATCH($D64,등급!$A$5:$A$12,0))=INDEX(등급!$H$5:$H$12,MATCH($D64,등급!$A$5:$A$12,0)),INDEX(등급!$G$5:$G$12,MATCH($D64,등급!$A$5:$A$12,0))&amp;"칸",INDEX(등급!$G$5:$G$12,MATCH($D64,등급!$A$5:$A$12,0))&amp;"~"&amp;INDEX(등급!$H$5:$H$12,MATCH($D64,등급!$A$5:$A$12,0))&amp;"칸"))</f>
        <v>-</v>
      </c>
      <c r="M64" s="19" t="str">
        <f aca="false">IF(INDEX(등급!$J$5:$J$12,MATCH($D64,등급!$A$5:$A$12,0))=0,"-",IF(INDEX(등급!$I$5:$I$12,MATCH($D64,등급!$A$5:$A$12,0))=INDEX(등급!$J$5:$J$12,MATCH($D64,등급!$A$5:$A$12,0)),INDEX(등급!$I$5:$I$12,MATCH($D64,등급!$A$5:$A$12,0))&amp;"개",INDEX(등급!$I$5:$I$12,MATCH($D64,등급!$A$5:$A$12,0))&amp;"~"&amp;INDEX(등급!$J$5:$J$12,MATCH($D64,등급!$A$5:$A$12,0))&amp;"개"))</f>
        <v>-</v>
      </c>
      <c r="N64" s="19" t="str">
        <f aca="false">IF(INDEX(등급!$L$5:$L$12,MATCH($D64,등급!$A$5:$A$12,0))=0,"-",INDEX(등급!$K$5:$K$12,MATCH($D64,등급!$A$5:$A$12,0))&amp;"~"&amp;INDEX(등급!$L$5:$L$12,MATCH($D64,등급!$A$5:$A$12,0))&amp;"개")</f>
        <v>-</v>
      </c>
    </row>
    <row r="65" customFormat="false" ht="15" hidden="false" customHeight="false" outlineLevel="0" collapsed="false">
      <c r="A65" s="19" t="str">
        <f aca="false">장비_기본!B12</f>
        <v>수호성의 소울 메달</v>
      </c>
      <c r="B65" s="19" t="str">
        <f aca="false">장비_기본!C12</f>
        <v>소울 메달</v>
      </c>
      <c r="C65" s="19" t="str">
        <f aca="false">장비_기본!D12</f>
        <v>탱커</v>
      </c>
      <c r="D65" s="8" t="s">
        <v>47</v>
      </c>
      <c r="E65" s="19" t="str">
        <f aca="false">장비_기본!F12</f>
        <v>받는 피해 감소</v>
      </c>
      <c r="F65" s="21" t="n">
        <f aca="false">장비_기본!G12*INDEX(등급!$C$5:$C$12,MATCH($D65,등급!$A$5:$A$12,0))</f>
        <v>0.0306</v>
      </c>
      <c r="G65" s="19" t="str">
        <f aca="false">장비_기본!H12</f>
        <v>② 스킬 위력</v>
      </c>
      <c r="H65" s="21" t="n">
        <f aca="false">장비_기본!I12*INDEX(등급!$C$5:$C$12,MATCH($D65,등급!$A$5:$A$12,0))</f>
        <v>0.255</v>
      </c>
      <c r="I65" s="13" t="s">
        <v>78</v>
      </c>
      <c r="J65" s="12"/>
      <c r="K65" s="19" t="n">
        <f aca="false">INDEX(등급!$D$5:$D$12,MATCH($D65,등급!$A$5:$A$12,0))</f>
        <v>3</v>
      </c>
      <c r="L65" s="19" t="str">
        <f aca="false">IF(INDEX(등급!$H$5:$H$12,MATCH($D65,등급!$A$5:$A$12,0))=0,"-",IF(INDEX(등급!$G$5:$G$12,MATCH($D65,등급!$A$5:$A$12,0))=INDEX(등급!$H$5:$H$12,MATCH($D65,등급!$A$5:$A$12,0)),INDEX(등급!$G$5:$G$12,MATCH($D65,등급!$A$5:$A$12,0))&amp;"칸",INDEX(등급!$G$5:$G$12,MATCH($D65,등급!$A$5:$A$12,0))&amp;"~"&amp;INDEX(등급!$H$5:$H$12,MATCH($D65,등급!$A$5:$A$12,0))&amp;"칸"))</f>
        <v>-</v>
      </c>
      <c r="M65" s="19" t="str">
        <f aca="false">IF(INDEX(등급!$J$5:$J$12,MATCH($D65,등급!$A$5:$A$12,0))=0,"-",IF(INDEX(등급!$I$5:$I$12,MATCH($D65,등급!$A$5:$A$12,0))=INDEX(등급!$J$5:$J$12,MATCH($D65,등급!$A$5:$A$12,0)),INDEX(등급!$I$5:$I$12,MATCH($D65,등급!$A$5:$A$12,0))&amp;"개",INDEX(등급!$I$5:$I$12,MATCH($D65,등급!$A$5:$A$12,0))&amp;"~"&amp;INDEX(등급!$J$5:$J$12,MATCH($D65,등급!$A$5:$A$12,0))&amp;"개"))</f>
        <v>-</v>
      </c>
      <c r="N65" s="19" t="str">
        <f aca="false">IF(INDEX(등급!$L$5:$L$12,MATCH($D65,등급!$A$5:$A$12,0))=0,"-",INDEX(등급!$K$5:$K$12,MATCH($D65,등급!$A$5:$A$12,0))&amp;"~"&amp;INDEX(등급!$L$5:$L$12,MATCH($D65,등급!$A$5:$A$12,0))&amp;"개")</f>
        <v>-</v>
      </c>
    </row>
    <row r="66" customFormat="false" ht="15" hidden="false" customHeight="false" outlineLevel="0" collapsed="false">
      <c r="A66" s="19" t="str">
        <f aca="false">장비_기본!B12</f>
        <v>수호성의 소울 메달</v>
      </c>
      <c r="B66" s="19" t="str">
        <f aca="false">장비_기본!C12</f>
        <v>소울 메달</v>
      </c>
      <c r="C66" s="19" t="str">
        <f aca="false">장비_기본!D12</f>
        <v>탱커</v>
      </c>
      <c r="D66" s="8" t="s">
        <v>48</v>
      </c>
      <c r="E66" s="19" t="str">
        <f aca="false">장비_기본!F12</f>
        <v>받는 피해 감소</v>
      </c>
      <c r="F66" s="21" t="n">
        <f aca="false">장비_기본!G12*INDEX(등급!$C$5:$C$12,MATCH($D66,등급!$A$5:$A$12,0))</f>
        <v>0.0366</v>
      </c>
      <c r="G66" s="19" t="str">
        <f aca="false">장비_기본!H12</f>
        <v>② 스킬 위력</v>
      </c>
      <c r="H66" s="21" t="n">
        <f aca="false">장비_기본!I12*INDEX(등급!$C$5:$C$12,MATCH($D66,등급!$A$5:$A$12,0))</f>
        <v>0.305</v>
      </c>
      <c r="I66" s="13" t="s">
        <v>78</v>
      </c>
      <c r="J66" s="12"/>
      <c r="K66" s="19" t="n">
        <f aca="false">INDEX(등급!$D$5:$D$12,MATCH($D66,등급!$A$5:$A$12,0))</f>
        <v>4</v>
      </c>
      <c r="L66" s="19" t="str">
        <f aca="false">IF(INDEX(등급!$H$5:$H$12,MATCH($D66,등급!$A$5:$A$12,0))=0,"-",IF(INDEX(등급!$G$5:$G$12,MATCH($D66,등급!$A$5:$A$12,0))=INDEX(등급!$H$5:$H$12,MATCH($D66,등급!$A$5:$A$12,0)),INDEX(등급!$G$5:$G$12,MATCH($D66,등급!$A$5:$A$12,0))&amp;"칸",INDEX(등급!$G$5:$G$12,MATCH($D66,등급!$A$5:$A$12,0))&amp;"~"&amp;INDEX(등급!$H$5:$H$12,MATCH($D66,등급!$A$5:$A$12,0))&amp;"칸"))</f>
        <v>-</v>
      </c>
      <c r="M66" s="19" t="str">
        <f aca="false">IF(INDEX(등급!$J$5:$J$12,MATCH($D66,등급!$A$5:$A$12,0))=0,"-",IF(INDEX(등급!$I$5:$I$12,MATCH($D66,등급!$A$5:$A$12,0))=INDEX(등급!$J$5:$J$12,MATCH($D66,등급!$A$5:$A$12,0)),INDEX(등급!$I$5:$I$12,MATCH($D66,등급!$A$5:$A$12,0))&amp;"개",INDEX(등급!$I$5:$I$12,MATCH($D66,등급!$A$5:$A$12,0))&amp;"~"&amp;INDEX(등급!$J$5:$J$12,MATCH($D66,등급!$A$5:$A$12,0))&amp;"개"))</f>
        <v>-</v>
      </c>
      <c r="N66" s="19" t="str">
        <f aca="false">IF(INDEX(등급!$L$5:$L$12,MATCH($D66,등급!$A$5:$A$12,0))=0,"-",INDEX(등급!$K$5:$K$12,MATCH($D66,등급!$A$5:$A$12,0))&amp;"~"&amp;INDEX(등급!$L$5:$L$12,MATCH($D66,등급!$A$5:$A$12,0))&amp;"개")</f>
        <v>-</v>
      </c>
    </row>
    <row r="67" customFormat="false" ht="15" hidden="false" customHeight="false" outlineLevel="0" collapsed="false">
      <c r="A67" s="19" t="str">
        <f aca="false">장비_기본!B12</f>
        <v>수호성의 소울 메달</v>
      </c>
      <c r="B67" s="19" t="str">
        <f aca="false">장비_기본!C12</f>
        <v>소울 메달</v>
      </c>
      <c r="C67" s="19" t="str">
        <f aca="false">장비_기본!D12</f>
        <v>탱커</v>
      </c>
      <c r="D67" s="8" t="s">
        <v>49</v>
      </c>
      <c r="E67" s="19" t="str">
        <f aca="false">장비_기본!F12</f>
        <v>받는 피해 감소</v>
      </c>
      <c r="F67" s="21" t="n">
        <f aca="false">장비_기본!G12*INDEX(등급!$C$5:$C$12,MATCH($D67,등급!$A$5:$A$12,0))</f>
        <v>0.0384</v>
      </c>
      <c r="G67" s="19" t="str">
        <f aca="false">장비_기본!H12</f>
        <v>② 스킬 위력</v>
      </c>
      <c r="H67" s="21" t="n">
        <f aca="false">장비_기본!I12*INDEX(등급!$C$5:$C$12,MATCH($D67,등급!$A$5:$A$12,0))</f>
        <v>0.32</v>
      </c>
      <c r="I67" s="13" t="s">
        <v>78</v>
      </c>
      <c r="J67" s="12"/>
      <c r="K67" s="19" t="n">
        <f aca="false">INDEX(등급!$D$5:$D$12,MATCH($D67,등급!$A$5:$A$12,0))</f>
        <v>4</v>
      </c>
      <c r="L67" s="19" t="str">
        <f aca="false">IF(INDEX(등급!$H$5:$H$12,MATCH($D67,등급!$A$5:$A$12,0))=0,"-",IF(INDEX(등급!$G$5:$G$12,MATCH($D67,등급!$A$5:$A$12,0))=INDEX(등급!$H$5:$H$12,MATCH($D67,등급!$A$5:$A$12,0)),INDEX(등급!$G$5:$G$12,MATCH($D67,등급!$A$5:$A$12,0))&amp;"칸",INDEX(등급!$G$5:$G$12,MATCH($D67,등급!$A$5:$A$12,0))&amp;"~"&amp;INDEX(등급!$H$5:$H$12,MATCH($D67,등급!$A$5:$A$12,0))&amp;"칸"))</f>
        <v>1칸</v>
      </c>
      <c r="M67" s="19" t="str">
        <f aca="false">IF(INDEX(등급!$J$5:$J$12,MATCH($D67,등급!$A$5:$A$12,0))=0,"-",IF(INDEX(등급!$I$5:$I$12,MATCH($D67,등급!$A$5:$A$12,0))=INDEX(등급!$J$5:$J$12,MATCH($D67,등급!$A$5:$A$12,0)),INDEX(등급!$I$5:$I$12,MATCH($D67,등급!$A$5:$A$12,0))&amp;"개",INDEX(등급!$I$5:$I$12,MATCH($D67,등급!$A$5:$A$12,0))&amp;"~"&amp;INDEX(등급!$J$5:$J$12,MATCH($D67,등급!$A$5:$A$12,0))&amp;"개"))</f>
        <v>0~1개</v>
      </c>
      <c r="N67" s="19" t="str">
        <f aca="false">IF(INDEX(등급!$L$5:$L$12,MATCH($D67,등급!$A$5:$A$12,0))=0,"-",INDEX(등급!$K$5:$K$12,MATCH($D67,등급!$A$5:$A$12,0))&amp;"~"&amp;INDEX(등급!$L$5:$L$12,MATCH($D67,등급!$A$5:$A$12,0))&amp;"개")</f>
        <v>0~1개</v>
      </c>
    </row>
    <row r="68" customFormat="false" ht="15" hidden="false" customHeight="false" outlineLevel="0" collapsed="false">
      <c r="A68" s="19" t="str">
        <f aca="false">장비_기본!B12</f>
        <v>수호성의 소울 메달</v>
      </c>
      <c r="B68" s="19" t="str">
        <f aca="false">장비_기본!C12</f>
        <v>소울 메달</v>
      </c>
      <c r="C68" s="19" t="str">
        <f aca="false">장비_기본!D12</f>
        <v>탱커</v>
      </c>
      <c r="D68" s="8" t="s">
        <v>51</v>
      </c>
      <c r="E68" s="19" t="str">
        <f aca="false">장비_기본!F12</f>
        <v>받는 피해 감소</v>
      </c>
      <c r="F68" s="21" t="n">
        <f aca="false">장비_기본!G12*INDEX(등급!$C$5:$C$12,MATCH($D68,등급!$A$5:$A$12,0))</f>
        <v>0.0396</v>
      </c>
      <c r="G68" s="19" t="str">
        <f aca="false">장비_기본!H12</f>
        <v>② 스킬 위력</v>
      </c>
      <c r="H68" s="21" t="n">
        <f aca="false">장비_기본!I12*INDEX(등급!$C$5:$C$12,MATCH($D68,등급!$A$5:$A$12,0))</f>
        <v>0.33</v>
      </c>
      <c r="I68" s="13" t="s">
        <v>78</v>
      </c>
      <c r="J68" s="12"/>
      <c r="K68" s="19" t="n">
        <f aca="false">INDEX(등급!$D$5:$D$12,MATCH($D68,등급!$A$5:$A$12,0))</f>
        <v>4</v>
      </c>
      <c r="L68" s="19" t="str">
        <f aca="false">IF(INDEX(등급!$H$5:$H$12,MATCH($D68,등급!$A$5:$A$12,0))=0,"-",IF(INDEX(등급!$G$5:$G$12,MATCH($D68,등급!$A$5:$A$12,0))=INDEX(등급!$H$5:$H$12,MATCH($D68,등급!$A$5:$A$12,0)),INDEX(등급!$G$5:$G$12,MATCH($D68,등급!$A$5:$A$12,0))&amp;"칸",INDEX(등급!$G$5:$G$12,MATCH($D68,등급!$A$5:$A$12,0))&amp;"~"&amp;INDEX(등급!$H$5:$H$12,MATCH($D68,등급!$A$5:$A$12,0))&amp;"칸"))</f>
        <v>1~3칸</v>
      </c>
      <c r="M68" s="19" t="str">
        <f aca="false">IF(INDEX(등급!$J$5:$J$12,MATCH($D68,등급!$A$5:$A$12,0))=0,"-",IF(INDEX(등급!$I$5:$I$12,MATCH($D68,등급!$A$5:$A$12,0))=INDEX(등급!$J$5:$J$12,MATCH($D68,등급!$A$5:$A$12,0)),INDEX(등급!$I$5:$I$12,MATCH($D68,등급!$A$5:$A$12,0))&amp;"개",INDEX(등급!$I$5:$I$12,MATCH($D68,등급!$A$5:$A$12,0))&amp;"~"&amp;INDEX(등급!$J$5:$J$12,MATCH($D68,등급!$A$5:$A$12,0))&amp;"개"))</f>
        <v>1개</v>
      </c>
      <c r="N68" s="19" t="str">
        <f aca="false">IF(INDEX(등급!$L$5:$L$12,MATCH($D68,등급!$A$5:$A$12,0))=0,"-",INDEX(등급!$K$5:$K$12,MATCH($D68,등급!$A$5:$A$12,0))&amp;"~"&amp;INDEX(등급!$L$5:$L$12,MATCH($D68,등급!$A$5:$A$12,0))&amp;"개")</f>
        <v>0~2개</v>
      </c>
    </row>
    <row r="69" customFormat="false" ht="15" hidden="false" customHeight="false" outlineLevel="0" collapsed="false">
      <c r="A69" s="19" t="str">
        <f aca="false">장비_기본!B13</f>
        <v>바람의 쌍검</v>
      </c>
      <c r="B69" s="19" t="str">
        <f aca="false">장비_기본!C13</f>
        <v>무기</v>
      </c>
      <c r="C69" s="19" t="str">
        <f aca="false">장비_기본!D13</f>
        <v>근딜</v>
      </c>
      <c r="D69" s="8" t="s">
        <v>43</v>
      </c>
      <c r="E69" s="19" t="str">
        <f aca="false">장비_기본!F13</f>
        <v>공격력</v>
      </c>
      <c r="F69" s="20" t="n">
        <f aca="false">장비_기본!G13*INDEX(등급!$C$5:$C$12,MATCH($D69,등급!$A$5:$A$12,0))</f>
        <v>4</v>
      </c>
      <c r="G69" s="19" t="str">
        <f aca="false">장비_기본!H13</f>
        <v>치명타 피해</v>
      </c>
      <c r="H69" s="21" t="n">
        <f aca="false">장비_기본!I13*INDEX(등급!$C$5:$C$12,MATCH($D69,등급!$A$5:$A$12,0))</f>
        <v>0.03</v>
      </c>
      <c r="I69" s="19" t="str">
        <f aca="false">장비_기본!J13</f>
        <v>① 급소 베기 출혈 피해 +[값]%</v>
      </c>
      <c r="J69" s="20" t="n">
        <f aca="false">ROUND(장비_기본!K13*INDEX(등급!$F$5:$F$12,MATCH($D69,등급!$A$5:$A$12,0)),1)</f>
        <v>10</v>
      </c>
      <c r="K69" s="19" t="n">
        <f aca="false">INDEX(등급!$D$5:$D$12,MATCH($D69,등급!$A$5:$A$12,0))</f>
        <v>0</v>
      </c>
      <c r="L69" s="19" t="str">
        <f aca="false">IF(INDEX(등급!$H$5:$H$12,MATCH($D69,등급!$A$5:$A$12,0))=0,"-",IF(INDEX(등급!$G$5:$G$12,MATCH($D69,등급!$A$5:$A$12,0))=INDEX(등급!$H$5:$H$12,MATCH($D69,등급!$A$5:$A$12,0)),INDEX(등급!$G$5:$G$12,MATCH($D69,등급!$A$5:$A$12,0))&amp;"칸",INDEX(등급!$G$5:$G$12,MATCH($D69,등급!$A$5:$A$12,0))&amp;"~"&amp;INDEX(등급!$H$5:$H$12,MATCH($D69,등급!$A$5:$A$12,0))&amp;"칸"))</f>
        <v>-</v>
      </c>
      <c r="M69" s="19" t="str">
        <f aca="false">IF(INDEX(등급!$J$5:$J$12,MATCH($D69,등급!$A$5:$A$12,0))=0,"-",IF(INDEX(등급!$I$5:$I$12,MATCH($D69,등급!$A$5:$A$12,0))=INDEX(등급!$J$5:$J$12,MATCH($D69,등급!$A$5:$A$12,0)),INDEX(등급!$I$5:$I$12,MATCH($D69,등급!$A$5:$A$12,0))&amp;"개",INDEX(등급!$I$5:$I$12,MATCH($D69,등급!$A$5:$A$12,0))&amp;"~"&amp;INDEX(등급!$J$5:$J$12,MATCH($D69,등급!$A$5:$A$12,0))&amp;"개"))</f>
        <v>-</v>
      </c>
      <c r="N69" s="19" t="str">
        <f aca="false">IF(INDEX(등급!$L$5:$L$12,MATCH($D69,등급!$A$5:$A$12,0))=0,"-",INDEX(등급!$K$5:$K$12,MATCH($D69,등급!$A$5:$A$12,0))&amp;"~"&amp;INDEX(등급!$L$5:$L$12,MATCH($D69,등급!$A$5:$A$12,0))&amp;"개")</f>
        <v>-</v>
      </c>
    </row>
    <row r="70" customFormat="false" ht="15" hidden="false" customHeight="false" outlineLevel="0" collapsed="false">
      <c r="A70" s="19" t="str">
        <f aca="false">장비_기본!B13</f>
        <v>바람의 쌍검</v>
      </c>
      <c r="B70" s="19" t="str">
        <f aca="false">장비_기본!C13</f>
        <v>무기</v>
      </c>
      <c r="C70" s="19" t="str">
        <f aca="false">장비_기본!D13</f>
        <v>근딜</v>
      </c>
      <c r="D70" s="8" t="s">
        <v>44</v>
      </c>
      <c r="E70" s="19" t="str">
        <f aca="false">장비_기본!F13</f>
        <v>공격력</v>
      </c>
      <c r="F70" s="20" t="n">
        <f aca="false">장비_기본!G13*INDEX(등급!$C$5:$C$12,MATCH($D70,등급!$A$5:$A$12,0))</f>
        <v>5.8</v>
      </c>
      <c r="G70" s="19" t="str">
        <f aca="false">장비_기본!H13</f>
        <v>치명타 피해</v>
      </c>
      <c r="H70" s="21" t="n">
        <f aca="false">장비_기본!I13*INDEX(등급!$C$5:$C$12,MATCH($D70,등급!$A$5:$A$12,0))</f>
        <v>0.0435</v>
      </c>
      <c r="I70" s="19" t="str">
        <f aca="false">장비_기본!J13</f>
        <v>① 급소 베기 출혈 피해 +[값]%</v>
      </c>
      <c r="J70" s="20" t="n">
        <f aca="false">ROUND(장비_기본!K13*INDEX(등급!$F$5:$F$12,MATCH($D70,등급!$A$5:$A$12,0)),1)</f>
        <v>13.5</v>
      </c>
      <c r="K70" s="19" t="n">
        <f aca="false">INDEX(등급!$D$5:$D$12,MATCH($D70,등급!$A$5:$A$12,0))</f>
        <v>0</v>
      </c>
      <c r="L70" s="19" t="str">
        <f aca="false">IF(INDEX(등급!$H$5:$H$12,MATCH($D70,등급!$A$5:$A$12,0))=0,"-",IF(INDEX(등급!$G$5:$G$12,MATCH($D70,등급!$A$5:$A$12,0))=INDEX(등급!$H$5:$H$12,MATCH($D70,등급!$A$5:$A$12,0)),INDEX(등급!$G$5:$G$12,MATCH($D70,등급!$A$5:$A$12,0))&amp;"칸",INDEX(등급!$G$5:$G$12,MATCH($D70,등급!$A$5:$A$12,0))&amp;"~"&amp;INDEX(등급!$H$5:$H$12,MATCH($D70,등급!$A$5:$A$12,0))&amp;"칸"))</f>
        <v>-</v>
      </c>
      <c r="M70" s="19" t="str">
        <f aca="false">IF(INDEX(등급!$J$5:$J$12,MATCH($D70,등급!$A$5:$A$12,0))=0,"-",IF(INDEX(등급!$I$5:$I$12,MATCH($D70,등급!$A$5:$A$12,0))=INDEX(등급!$J$5:$J$12,MATCH($D70,등급!$A$5:$A$12,0)),INDEX(등급!$I$5:$I$12,MATCH($D70,등급!$A$5:$A$12,0))&amp;"개",INDEX(등급!$I$5:$I$12,MATCH($D70,등급!$A$5:$A$12,0))&amp;"~"&amp;INDEX(등급!$J$5:$J$12,MATCH($D70,등급!$A$5:$A$12,0))&amp;"개"))</f>
        <v>-</v>
      </c>
      <c r="N70" s="19" t="str">
        <f aca="false">IF(INDEX(등급!$L$5:$L$12,MATCH($D70,등급!$A$5:$A$12,0))=0,"-",INDEX(등급!$K$5:$K$12,MATCH($D70,등급!$A$5:$A$12,0))&amp;"~"&amp;INDEX(등급!$L$5:$L$12,MATCH($D70,등급!$A$5:$A$12,0))&amp;"개")</f>
        <v>-</v>
      </c>
    </row>
    <row r="71" customFormat="false" ht="15" hidden="false" customHeight="false" outlineLevel="0" collapsed="false">
      <c r="A71" s="19" t="str">
        <f aca="false">장비_기본!B13</f>
        <v>바람의 쌍검</v>
      </c>
      <c r="B71" s="19" t="str">
        <f aca="false">장비_기본!C13</f>
        <v>무기</v>
      </c>
      <c r="C71" s="19" t="str">
        <f aca="false">장비_기본!D13</f>
        <v>근딜</v>
      </c>
      <c r="D71" s="8" t="s">
        <v>45</v>
      </c>
      <c r="E71" s="19" t="str">
        <f aca="false">장비_기본!F13</f>
        <v>공격력</v>
      </c>
      <c r="F71" s="20" t="n">
        <f aca="false">장비_기본!G13*INDEX(등급!$C$5:$C$12,MATCH($D71,등급!$A$5:$A$12,0))</f>
        <v>6.8</v>
      </c>
      <c r="G71" s="19" t="str">
        <f aca="false">장비_기본!H13</f>
        <v>치명타 피해</v>
      </c>
      <c r="H71" s="21" t="n">
        <f aca="false">장비_기본!I13*INDEX(등급!$C$5:$C$12,MATCH($D71,등급!$A$5:$A$12,0))</f>
        <v>0.051</v>
      </c>
      <c r="I71" s="19" t="str">
        <f aca="false">장비_기본!J13</f>
        <v>① 급소 베기 출혈 피해 +[값]%</v>
      </c>
      <c r="J71" s="20" t="n">
        <f aca="false">ROUND(장비_기본!K13*INDEX(등급!$F$5:$F$12,MATCH($D71,등급!$A$5:$A$12,0)),1)</f>
        <v>15</v>
      </c>
      <c r="K71" s="19" t="n">
        <f aca="false">INDEX(등급!$D$5:$D$12,MATCH($D71,등급!$A$5:$A$12,0))</f>
        <v>1</v>
      </c>
      <c r="L71" s="19" t="str">
        <f aca="false">IF(INDEX(등급!$H$5:$H$12,MATCH($D71,등급!$A$5:$A$12,0))=0,"-",IF(INDEX(등급!$G$5:$G$12,MATCH($D71,등급!$A$5:$A$12,0))=INDEX(등급!$H$5:$H$12,MATCH($D71,등급!$A$5:$A$12,0)),INDEX(등급!$G$5:$G$12,MATCH($D71,등급!$A$5:$A$12,0))&amp;"칸",INDEX(등급!$G$5:$G$12,MATCH($D71,등급!$A$5:$A$12,0))&amp;"~"&amp;INDEX(등급!$H$5:$H$12,MATCH($D71,등급!$A$5:$A$12,0))&amp;"칸"))</f>
        <v>-</v>
      </c>
      <c r="M71" s="19" t="str">
        <f aca="false">IF(INDEX(등급!$J$5:$J$12,MATCH($D71,등급!$A$5:$A$12,0))=0,"-",IF(INDEX(등급!$I$5:$I$12,MATCH($D71,등급!$A$5:$A$12,0))=INDEX(등급!$J$5:$J$12,MATCH($D71,등급!$A$5:$A$12,0)),INDEX(등급!$I$5:$I$12,MATCH($D71,등급!$A$5:$A$12,0))&amp;"개",INDEX(등급!$I$5:$I$12,MATCH($D71,등급!$A$5:$A$12,0))&amp;"~"&amp;INDEX(등급!$J$5:$J$12,MATCH($D71,등급!$A$5:$A$12,0))&amp;"개"))</f>
        <v>-</v>
      </c>
      <c r="N71" s="19" t="str">
        <f aca="false">IF(INDEX(등급!$L$5:$L$12,MATCH($D71,등급!$A$5:$A$12,0))=0,"-",INDEX(등급!$K$5:$K$12,MATCH($D71,등급!$A$5:$A$12,0))&amp;"~"&amp;INDEX(등급!$L$5:$L$12,MATCH($D71,등급!$A$5:$A$12,0))&amp;"개")</f>
        <v>-</v>
      </c>
    </row>
    <row r="72" customFormat="false" ht="15" hidden="false" customHeight="false" outlineLevel="0" collapsed="false">
      <c r="A72" s="19" t="str">
        <f aca="false">장비_기본!B13</f>
        <v>바람의 쌍검</v>
      </c>
      <c r="B72" s="19" t="str">
        <f aca="false">장비_기본!C13</f>
        <v>무기</v>
      </c>
      <c r="C72" s="19" t="str">
        <f aca="false">장비_기본!D13</f>
        <v>근딜</v>
      </c>
      <c r="D72" s="8" t="s">
        <v>46</v>
      </c>
      <c r="E72" s="19" t="str">
        <f aca="false">장비_기본!F13</f>
        <v>공격력</v>
      </c>
      <c r="F72" s="20" t="n">
        <f aca="false">장비_기본!G13*INDEX(등급!$C$5:$C$12,MATCH($D72,등급!$A$5:$A$12,0))</f>
        <v>8.4</v>
      </c>
      <c r="G72" s="19" t="str">
        <f aca="false">장비_기본!H13</f>
        <v>치명타 피해</v>
      </c>
      <c r="H72" s="21" t="n">
        <f aca="false">장비_기본!I13*INDEX(등급!$C$5:$C$12,MATCH($D72,등급!$A$5:$A$12,0))</f>
        <v>0.063</v>
      </c>
      <c r="I72" s="19" t="str">
        <f aca="false">장비_기본!J13</f>
        <v>① 급소 베기 출혈 피해 +[값]%</v>
      </c>
      <c r="J72" s="20" t="n">
        <f aca="false">ROUND(장비_기본!K13*INDEX(등급!$F$5:$F$12,MATCH($D72,등급!$A$5:$A$12,0)),1)</f>
        <v>17.5</v>
      </c>
      <c r="K72" s="19" t="n">
        <f aca="false">INDEX(등급!$D$5:$D$12,MATCH($D72,등급!$A$5:$A$12,0))</f>
        <v>2</v>
      </c>
      <c r="L72" s="19" t="str">
        <f aca="false">IF(INDEX(등급!$H$5:$H$12,MATCH($D72,등급!$A$5:$A$12,0))=0,"-",IF(INDEX(등급!$G$5:$G$12,MATCH($D72,등급!$A$5:$A$12,0))=INDEX(등급!$H$5:$H$12,MATCH($D72,등급!$A$5:$A$12,0)),INDEX(등급!$G$5:$G$12,MATCH($D72,등급!$A$5:$A$12,0))&amp;"칸",INDEX(등급!$G$5:$G$12,MATCH($D72,등급!$A$5:$A$12,0))&amp;"~"&amp;INDEX(등급!$H$5:$H$12,MATCH($D72,등급!$A$5:$A$12,0))&amp;"칸"))</f>
        <v>-</v>
      </c>
      <c r="M72" s="19" t="str">
        <f aca="false">IF(INDEX(등급!$J$5:$J$12,MATCH($D72,등급!$A$5:$A$12,0))=0,"-",IF(INDEX(등급!$I$5:$I$12,MATCH($D72,등급!$A$5:$A$12,0))=INDEX(등급!$J$5:$J$12,MATCH($D72,등급!$A$5:$A$12,0)),INDEX(등급!$I$5:$I$12,MATCH($D72,등급!$A$5:$A$12,0))&amp;"개",INDEX(등급!$I$5:$I$12,MATCH($D72,등급!$A$5:$A$12,0))&amp;"~"&amp;INDEX(등급!$J$5:$J$12,MATCH($D72,등급!$A$5:$A$12,0))&amp;"개"))</f>
        <v>-</v>
      </c>
      <c r="N72" s="19" t="str">
        <f aca="false">IF(INDEX(등급!$L$5:$L$12,MATCH($D72,등급!$A$5:$A$12,0))=0,"-",INDEX(등급!$K$5:$K$12,MATCH($D72,등급!$A$5:$A$12,0))&amp;"~"&amp;INDEX(등급!$L$5:$L$12,MATCH($D72,등급!$A$5:$A$12,0))&amp;"개")</f>
        <v>-</v>
      </c>
    </row>
    <row r="73" customFormat="false" ht="15" hidden="false" customHeight="false" outlineLevel="0" collapsed="false">
      <c r="A73" s="19" t="str">
        <f aca="false">장비_기본!B13</f>
        <v>바람의 쌍검</v>
      </c>
      <c r="B73" s="19" t="str">
        <f aca="false">장비_기본!C13</f>
        <v>무기</v>
      </c>
      <c r="C73" s="19" t="str">
        <f aca="false">장비_기본!D13</f>
        <v>근딜</v>
      </c>
      <c r="D73" s="8" t="s">
        <v>47</v>
      </c>
      <c r="E73" s="19" t="str">
        <f aca="false">장비_기본!F13</f>
        <v>공격력</v>
      </c>
      <c r="F73" s="20" t="n">
        <f aca="false">장비_기본!G13*INDEX(등급!$C$5:$C$12,MATCH($D73,등급!$A$5:$A$12,0))</f>
        <v>10.2</v>
      </c>
      <c r="G73" s="19" t="str">
        <f aca="false">장비_기본!H13</f>
        <v>치명타 피해</v>
      </c>
      <c r="H73" s="21" t="n">
        <f aca="false">장비_기본!I13*INDEX(등급!$C$5:$C$12,MATCH($D73,등급!$A$5:$A$12,0))</f>
        <v>0.0765</v>
      </c>
      <c r="I73" s="19" t="str">
        <f aca="false">장비_기본!J13</f>
        <v>① 급소 베기 출혈 피해 +[값]%</v>
      </c>
      <c r="J73" s="20" t="n">
        <f aca="false">ROUND(장비_기본!K13*INDEX(등급!$F$5:$F$12,MATCH($D73,등급!$A$5:$A$12,0)),1)</f>
        <v>20</v>
      </c>
      <c r="K73" s="19" t="n">
        <f aca="false">INDEX(등급!$D$5:$D$12,MATCH($D73,등급!$A$5:$A$12,0))</f>
        <v>3</v>
      </c>
      <c r="L73" s="19" t="str">
        <f aca="false">IF(INDEX(등급!$H$5:$H$12,MATCH($D73,등급!$A$5:$A$12,0))=0,"-",IF(INDEX(등급!$G$5:$G$12,MATCH($D73,등급!$A$5:$A$12,0))=INDEX(등급!$H$5:$H$12,MATCH($D73,등급!$A$5:$A$12,0)),INDEX(등급!$G$5:$G$12,MATCH($D73,등급!$A$5:$A$12,0))&amp;"칸",INDEX(등급!$G$5:$G$12,MATCH($D73,등급!$A$5:$A$12,0))&amp;"~"&amp;INDEX(등급!$H$5:$H$12,MATCH($D73,등급!$A$5:$A$12,0))&amp;"칸"))</f>
        <v>-</v>
      </c>
      <c r="M73" s="19" t="str">
        <f aca="false">IF(INDEX(등급!$J$5:$J$12,MATCH($D73,등급!$A$5:$A$12,0))=0,"-",IF(INDEX(등급!$I$5:$I$12,MATCH($D73,등급!$A$5:$A$12,0))=INDEX(등급!$J$5:$J$12,MATCH($D73,등급!$A$5:$A$12,0)),INDEX(등급!$I$5:$I$12,MATCH($D73,등급!$A$5:$A$12,0))&amp;"개",INDEX(등급!$I$5:$I$12,MATCH($D73,등급!$A$5:$A$12,0))&amp;"~"&amp;INDEX(등급!$J$5:$J$12,MATCH($D73,등급!$A$5:$A$12,0))&amp;"개"))</f>
        <v>-</v>
      </c>
      <c r="N73" s="19" t="str">
        <f aca="false">IF(INDEX(등급!$L$5:$L$12,MATCH($D73,등급!$A$5:$A$12,0))=0,"-",INDEX(등급!$K$5:$K$12,MATCH($D73,등급!$A$5:$A$12,0))&amp;"~"&amp;INDEX(등급!$L$5:$L$12,MATCH($D73,등급!$A$5:$A$12,0))&amp;"개")</f>
        <v>-</v>
      </c>
    </row>
    <row r="74" customFormat="false" ht="15" hidden="false" customHeight="false" outlineLevel="0" collapsed="false">
      <c r="A74" s="19" t="str">
        <f aca="false">장비_기본!B13</f>
        <v>바람의 쌍검</v>
      </c>
      <c r="B74" s="19" t="str">
        <f aca="false">장비_기본!C13</f>
        <v>무기</v>
      </c>
      <c r="C74" s="19" t="str">
        <f aca="false">장비_기본!D13</f>
        <v>근딜</v>
      </c>
      <c r="D74" s="8" t="s">
        <v>48</v>
      </c>
      <c r="E74" s="19" t="str">
        <f aca="false">장비_기본!F13</f>
        <v>공격력</v>
      </c>
      <c r="F74" s="20" t="n">
        <f aca="false">장비_기본!G13*INDEX(등급!$C$5:$C$12,MATCH($D74,등급!$A$5:$A$12,0))</f>
        <v>12.2</v>
      </c>
      <c r="G74" s="19" t="str">
        <f aca="false">장비_기본!H13</f>
        <v>치명타 피해</v>
      </c>
      <c r="H74" s="21" t="n">
        <f aca="false">장비_기본!I13*INDEX(등급!$C$5:$C$12,MATCH($D74,등급!$A$5:$A$12,0))</f>
        <v>0.0915</v>
      </c>
      <c r="I74" s="19" t="str">
        <f aca="false">장비_기본!J13</f>
        <v>① 급소 베기 출혈 피해 +[값]%</v>
      </c>
      <c r="J74" s="20" t="n">
        <f aca="false">ROUND(장비_기본!K13*INDEX(등급!$F$5:$F$12,MATCH($D74,등급!$A$5:$A$12,0)),1)</f>
        <v>23</v>
      </c>
      <c r="K74" s="19" t="n">
        <f aca="false">INDEX(등급!$D$5:$D$12,MATCH($D74,등급!$A$5:$A$12,0))</f>
        <v>4</v>
      </c>
      <c r="L74" s="19" t="str">
        <f aca="false">IF(INDEX(등급!$H$5:$H$12,MATCH($D74,등급!$A$5:$A$12,0))=0,"-",IF(INDEX(등급!$G$5:$G$12,MATCH($D74,등급!$A$5:$A$12,0))=INDEX(등급!$H$5:$H$12,MATCH($D74,등급!$A$5:$A$12,0)),INDEX(등급!$G$5:$G$12,MATCH($D74,등급!$A$5:$A$12,0))&amp;"칸",INDEX(등급!$G$5:$G$12,MATCH($D74,등급!$A$5:$A$12,0))&amp;"~"&amp;INDEX(등급!$H$5:$H$12,MATCH($D74,등급!$A$5:$A$12,0))&amp;"칸"))</f>
        <v>-</v>
      </c>
      <c r="M74" s="19" t="str">
        <f aca="false">IF(INDEX(등급!$J$5:$J$12,MATCH($D74,등급!$A$5:$A$12,0))=0,"-",IF(INDEX(등급!$I$5:$I$12,MATCH($D74,등급!$A$5:$A$12,0))=INDEX(등급!$J$5:$J$12,MATCH($D74,등급!$A$5:$A$12,0)),INDEX(등급!$I$5:$I$12,MATCH($D74,등급!$A$5:$A$12,0))&amp;"개",INDEX(등급!$I$5:$I$12,MATCH($D74,등급!$A$5:$A$12,0))&amp;"~"&amp;INDEX(등급!$J$5:$J$12,MATCH($D74,등급!$A$5:$A$12,0))&amp;"개"))</f>
        <v>-</v>
      </c>
      <c r="N74" s="19" t="str">
        <f aca="false">IF(INDEX(등급!$L$5:$L$12,MATCH($D74,등급!$A$5:$A$12,0))=0,"-",INDEX(등급!$K$5:$K$12,MATCH($D74,등급!$A$5:$A$12,0))&amp;"~"&amp;INDEX(등급!$L$5:$L$12,MATCH($D74,등급!$A$5:$A$12,0))&amp;"개")</f>
        <v>-</v>
      </c>
    </row>
    <row r="75" customFormat="false" ht="15" hidden="false" customHeight="false" outlineLevel="0" collapsed="false">
      <c r="A75" s="19" t="str">
        <f aca="false">장비_기본!B13</f>
        <v>바람의 쌍검</v>
      </c>
      <c r="B75" s="19" t="str">
        <f aca="false">장비_기본!C13</f>
        <v>무기</v>
      </c>
      <c r="C75" s="19" t="str">
        <f aca="false">장비_기본!D13</f>
        <v>근딜</v>
      </c>
      <c r="D75" s="8" t="s">
        <v>49</v>
      </c>
      <c r="E75" s="19" t="str">
        <f aca="false">장비_기본!F13</f>
        <v>공격력</v>
      </c>
      <c r="F75" s="20" t="n">
        <f aca="false">장비_기본!G13*INDEX(등급!$C$5:$C$12,MATCH($D75,등급!$A$5:$A$12,0))</f>
        <v>12.8</v>
      </c>
      <c r="G75" s="19" t="str">
        <f aca="false">장비_기본!H13</f>
        <v>치명타 피해</v>
      </c>
      <c r="H75" s="21" t="n">
        <f aca="false">장비_기본!I13*INDEX(등급!$C$5:$C$12,MATCH($D75,등급!$A$5:$A$12,0))</f>
        <v>0.096</v>
      </c>
      <c r="I75" s="19" t="str">
        <f aca="false">장비_기본!J13</f>
        <v>① 급소 베기 출혈 피해 +[값]%</v>
      </c>
      <c r="J75" s="20" t="n">
        <f aca="false">ROUND(장비_기본!K13*INDEX(등급!$F$5:$F$12,MATCH($D75,등급!$A$5:$A$12,0)),1)</f>
        <v>26.5</v>
      </c>
      <c r="K75" s="19" t="n">
        <f aca="false">INDEX(등급!$D$5:$D$12,MATCH($D75,등급!$A$5:$A$12,0))</f>
        <v>4</v>
      </c>
      <c r="L75" s="19" t="str">
        <f aca="false">IF(INDEX(등급!$H$5:$H$12,MATCH($D75,등급!$A$5:$A$12,0))=0,"-",IF(INDEX(등급!$G$5:$G$12,MATCH($D75,등급!$A$5:$A$12,0))=INDEX(등급!$H$5:$H$12,MATCH($D75,등급!$A$5:$A$12,0)),INDEX(등급!$G$5:$G$12,MATCH($D75,등급!$A$5:$A$12,0))&amp;"칸",INDEX(등급!$G$5:$G$12,MATCH($D75,등급!$A$5:$A$12,0))&amp;"~"&amp;INDEX(등급!$H$5:$H$12,MATCH($D75,등급!$A$5:$A$12,0))&amp;"칸"))</f>
        <v>1칸</v>
      </c>
      <c r="M75" s="19" t="str">
        <f aca="false">IF(INDEX(등급!$J$5:$J$12,MATCH($D75,등급!$A$5:$A$12,0))=0,"-",IF(INDEX(등급!$I$5:$I$12,MATCH($D75,등급!$A$5:$A$12,0))=INDEX(등급!$J$5:$J$12,MATCH($D75,등급!$A$5:$A$12,0)),INDEX(등급!$I$5:$I$12,MATCH($D75,등급!$A$5:$A$12,0))&amp;"개",INDEX(등급!$I$5:$I$12,MATCH($D75,등급!$A$5:$A$12,0))&amp;"~"&amp;INDEX(등급!$J$5:$J$12,MATCH($D75,등급!$A$5:$A$12,0))&amp;"개"))</f>
        <v>0~1개</v>
      </c>
      <c r="N75" s="19" t="str">
        <f aca="false">IF(INDEX(등급!$L$5:$L$12,MATCH($D75,등급!$A$5:$A$12,0))=0,"-",INDEX(등급!$K$5:$K$12,MATCH($D75,등급!$A$5:$A$12,0))&amp;"~"&amp;INDEX(등급!$L$5:$L$12,MATCH($D75,등급!$A$5:$A$12,0))&amp;"개")</f>
        <v>0~1개</v>
      </c>
    </row>
    <row r="76" customFormat="false" ht="15" hidden="false" customHeight="false" outlineLevel="0" collapsed="false">
      <c r="A76" s="19" t="str">
        <f aca="false">장비_기본!B13</f>
        <v>바람의 쌍검</v>
      </c>
      <c r="B76" s="19" t="str">
        <f aca="false">장비_기본!C13</f>
        <v>무기</v>
      </c>
      <c r="C76" s="19" t="str">
        <f aca="false">장비_기본!D13</f>
        <v>근딜</v>
      </c>
      <c r="D76" s="8" t="s">
        <v>51</v>
      </c>
      <c r="E76" s="19" t="str">
        <f aca="false">장비_기본!F13</f>
        <v>공격력</v>
      </c>
      <c r="F76" s="20" t="n">
        <f aca="false">장비_기본!G13*INDEX(등급!$C$5:$C$12,MATCH($D76,등급!$A$5:$A$12,0))</f>
        <v>13.2</v>
      </c>
      <c r="G76" s="19" t="str">
        <f aca="false">장비_기본!H13</f>
        <v>치명타 피해</v>
      </c>
      <c r="H76" s="21" t="n">
        <f aca="false">장비_기본!I13*INDEX(등급!$C$5:$C$12,MATCH($D76,등급!$A$5:$A$12,0))</f>
        <v>0.099</v>
      </c>
      <c r="I76" s="19" t="str">
        <f aca="false">장비_기본!J13</f>
        <v>① 급소 베기 출혈 피해 +[값]%</v>
      </c>
      <c r="J76" s="20" t="n">
        <f aca="false">ROUND(장비_기본!K13*INDEX(등급!$F$5:$F$12,MATCH($D76,등급!$A$5:$A$12,0)),1)</f>
        <v>30</v>
      </c>
      <c r="K76" s="19" t="n">
        <f aca="false">INDEX(등급!$D$5:$D$12,MATCH($D76,등급!$A$5:$A$12,0))</f>
        <v>4</v>
      </c>
      <c r="L76" s="19" t="str">
        <f aca="false">IF(INDEX(등급!$H$5:$H$12,MATCH($D76,등급!$A$5:$A$12,0))=0,"-",IF(INDEX(등급!$G$5:$G$12,MATCH($D76,등급!$A$5:$A$12,0))=INDEX(등급!$H$5:$H$12,MATCH($D76,등급!$A$5:$A$12,0)),INDEX(등급!$G$5:$G$12,MATCH($D76,등급!$A$5:$A$12,0))&amp;"칸",INDEX(등급!$G$5:$G$12,MATCH($D76,등급!$A$5:$A$12,0))&amp;"~"&amp;INDEX(등급!$H$5:$H$12,MATCH($D76,등급!$A$5:$A$12,0))&amp;"칸"))</f>
        <v>1~3칸</v>
      </c>
      <c r="M76" s="19" t="str">
        <f aca="false">IF(INDEX(등급!$J$5:$J$12,MATCH($D76,등급!$A$5:$A$12,0))=0,"-",IF(INDEX(등급!$I$5:$I$12,MATCH($D76,등급!$A$5:$A$12,0))=INDEX(등급!$J$5:$J$12,MATCH($D76,등급!$A$5:$A$12,0)),INDEX(등급!$I$5:$I$12,MATCH($D76,등급!$A$5:$A$12,0))&amp;"개",INDEX(등급!$I$5:$I$12,MATCH($D76,등급!$A$5:$A$12,0))&amp;"~"&amp;INDEX(등급!$J$5:$J$12,MATCH($D76,등급!$A$5:$A$12,0))&amp;"개"))</f>
        <v>1개</v>
      </c>
      <c r="N76" s="19" t="str">
        <f aca="false">IF(INDEX(등급!$L$5:$L$12,MATCH($D76,등급!$A$5:$A$12,0))=0,"-",INDEX(등급!$K$5:$K$12,MATCH($D76,등급!$A$5:$A$12,0))&amp;"~"&amp;INDEX(등급!$L$5:$L$12,MATCH($D76,등급!$A$5:$A$12,0))&amp;"개")</f>
        <v>0~2개</v>
      </c>
    </row>
    <row r="77" customFormat="false" ht="15" hidden="false" customHeight="false" outlineLevel="0" collapsed="false">
      <c r="A77" s="19" t="str">
        <f aca="false">장비_기본!B14</f>
        <v>파쇄자의 대검</v>
      </c>
      <c r="B77" s="19" t="str">
        <f aca="false">장비_기본!C14</f>
        <v>무기</v>
      </c>
      <c r="C77" s="19" t="str">
        <f aca="false">장비_기본!D14</f>
        <v>근딜</v>
      </c>
      <c r="D77" s="8" t="s">
        <v>43</v>
      </c>
      <c r="E77" s="19" t="str">
        <f aca="false">장비_기본!F14</f>
        <v>공격력</v>
      </c>
      <c r="F77" s="20" t="n">
        <f aca="false">장비_기본!G14*INDEX(등급!$C$5:$C$12,MATCH($D77,등급!$A$5:$A$12,0))</f>
        <v>4</v>
      </c>
      <c r="G77" s="19" t="str">
        <f aca="false">장비_기본!H14</f>
        <v>치명타 피해</v>
      </c>
      <c r="H77" s="21" t="n">
        <f aca="false">장비_기본!I14*INDEX(등급!$C$5:$C$12,MATCH($D77,등급!$A$5:$A$12,0))</f>
        <v>0.03</v>
      </c>
      <c r="I77" s="19" t="str">
        <f aca="false">장비_기본!J14</f>
        <v>그로기 적에게 피해 +[값]%</v>
      </c>
      <c r="J77" s="20" t="n">
        <f aca="false">ROUND(장비_기본!K14*INDEX(등급!$F$5:$F$12,MATCH($D77,등급!$A$5:$A$12,0)),1)</f>
        <v>8</v>
      </c>
      <c r="K77" s="19" t="n">
        <f aca="false">INDEX(등급!$D$5:$D$12,MATCH($D77,등급!$A$5:$A$12,0))</f>
        <v>0</v>
      </c>
      <c r="L77" s="19" t="str">
        <f aca="false">IF(INDEX(등급!$H$5:$H$12,MATCH($D77,등급!$A$5:$A$12,0))=0,"-",IF(INDEX(등급!$G$5:$G$12,MATCH($D77,등급!$A$5:$A$12,0))=INDEX(등급!$H$5:$H$12,MATCH($D77,등급!$A$5:$A$12,0)),INDEX(등급!$G$5:$G$12,MATCH($D77,등급!$A$5:$A$12,0))&amp;"칸",INDEX(등급!$G$5:$G$12,MATCH($D77,등급!$A$5:$A$12,0))&amp;"~"&amp;INDEX(등급!$H$5:$H$12,MATCH($D77,등급!$A$5:$A$12,0))&amp;"칸"))</f>
        <v>-</v>
      </c>
      <c r="M77" s="19" t="str">
        <f aca="false">IF(INDEX(등급!$J$5:$J$12,MATCH($D77,등급!$A$5:$A$12,0))=0,"-",IF(INDEX(등급!$I$5:$I$12,MATCH($D77,등급!$A$5:$A$12,0))=INDEX(등급!$J$5:$J$12,MATCH($D77,등급!$A$5:$A$12,0)),INDEX(등급!$I$5:$I$12,MATCH($D77,등급!$A$5:$A$12,0))&amp;"개",INDEX(등급!$I$5:$I$12,MATCH($D77,등급!$A$5:$A$12,0))&amp;"~"&amp;INDEX(등급!$J$5:$J$12,MATCH($D77,등급!$A$5:$A$12,0))&amp;"개"))</f>
        <v>-</v>
      </c>
      <c r="N77" s="19" t="str">
        <f aca="false">IF(INDEX(등급!$L$5:$L$12,MATCH($D77,등급!$A$5:$A$12,0))=0,"-",INDEX(등급!$K$5:$K$12,MATCH($D77,등급!$A$5:$A$12,0))&amp;"~"&amp;INDEX(등급!$L$5:$L$12,MATCH($D77,등급!$A$5:$A$12,0))&amp;"개")</f>
        <v>-</v>
      </c>
    </row>
    <row r="78" customFormat="false" ht="15" hidden="false" customHeight="false" outlineLevel="0" collapsed="false">
      <c r="A78" s="19" t="str">
        <f aca="false">장비_기본!B14</f>
        <v>파쇄자의 대검</v>
      </c>
      <c r="B78" s="19" t="str">
        <f aca="false">장비_기본!C14</f>
        <v>무기</v>
      </c>
      <c r="C78" s="19" t="str">
        <f aca="false">장비_기본!D14</f>
        <v>근딜</v>
      </c>
      <c r="D78" s="8" t="s">
        <v>44</v>
      </c>
      <c r="E78" s="19" t="str">
        <f aca="false">장비_기본!F14</f>
        <v>공격력</v>
      </c>
      <c r="F78" s="20" t="n">
        <f aca="false">장비_기본!G14*INDEX(등급!$C$5:$C$12,MATCH($D78,등급!$A$5:$A$12,0))</f>
        <v>5.8</v>
      </c>
      <c r="G78" s="19" t="str">
        <f aca="false">장비_기본!H14</f>
        <v>치명타 피해</v>
      </c>
      <c r="H78" s="21" t="n">
        <f aca="false">장비_기본!I14*INDEX(등급!$C$5:$C$12,MATCH($D78,등급!$A$5:$A$12,0))</f>
        <v>0.0435</v>
      </c>
      <c r="I78" s="19" t="str">
        <f aca="false">장비_기본!J14</f>
        <v>그로기 적에게 피해 +[값]%</v>
      </c>
      <c r="J78" s="20" t="n">
        <f aca="false">ROUND(장비_기본!K14*INDEX(등급!$F$5:$F$12,MATCH($D78,등급!$A$5:$A$12,0)),1)</f>
        <v>10.8</v>
      </c>
      <c r="K78" s="19" t="n">
        <f aca="false">INDEX(등급!$D$5:$D$12,MATCH($D78,등급!$A$5:$A$12,0))</f>
        <v>0</v>
      </c>
      <c r="L78" s="19" t="str">
        <f aca="false">IF(INDEX(등급!$H$5:$H$12,MATCH($D78,등급!$A$5:$A$12,0))=0,"-",IF(INDEX(등급!$G$5:$G$12,MATCH($D78,등급!$A$5:$A$12,0))=INDEX(등급!$H$5:$H$12,MATCH($D78,등급!$A$5:$A$12,0)),INDEX(등급!$G$5:$G$12,MATCH($D78,등급!$A$5:$A$12,0))&amp;"칸",INDEX(등급!$G$5:$G$12,MATCH($D78,등급!$A$5:$A$12,0))&amp;"~"&amp;INDEX(등급!$H$5:$H$12,MATCH($D78,등급!$A$5:$A$12,0))&amp;"칸"))</f>
        <v>-</v>
      </c>
      <c r="M78" s="19" t="str">
        <f aca="false">IF(INDEX(등급!$J$5:$J$12,MATCH($D78,등급!$A$5:$A$12,0))=0,"-",IF(INDEX(등급!$I$5:$I$12,MATCH($D78,등급!$A$5:$A$12,0))=INDEX(등급!$J$5:$J$12,MATCH($D78,등급!$A$5:$A$12,0)),INDEX(등급!$I$5:$I$12,MATCH($D78,등급!$A$5:$A$12,0))&amp;"개",INDEX(등급!$I$5:$I$12,MATCH($D78,등급!$A$5:$A$12,0))&amp;"~"&amp;INDEX(등급!$J$5:$J$12,MATCH($D78,등급!$A$5:$A$12,0))&amp;"개"))</f>
        <v>-</v>
      </c>
      <c r="N78" s="19" t="str">
        <f aca="false">IF(INDEX(등급!$L$5:$L$12,MATCH($D78,등급!$A$5:$A$12,0))=0,"-",INDEX(등급!$K$5:$K$12,MATCH($D78,등급!$A$5:$A$12,0))&amp;"~"&amp;INDEX(등급!$L$5:$L$12,MATCH($D78,등급!$A$5:$A$12,0))&amp;"개")</f>
        <v>-</v>
      </c>
    </row>
    <row r="79" customFormat="false" ht="15" hidden="false" customHeight="false" outlineLevel="0" collapsed="false">
      <c r="A79" s="19" t="str">
        <f aca="false">장비_기본!B14</f>
        <v>파쇄자의 대검</v>
      </c>
      <c r="B79" s="19" t="str">
        <f aca="false">장비_기본!C14</f>
        <v>무기</v>
      </c>
      <c r="C79" s="19" t="str">
        <f aca="false">장비_기본!D14</f>
        <v>근딜</v>
      </c>
      <c r="D79" s="8" t="s">
        <v>45</v>
      </c>
      <c r="E79" s="19" t="str">
        <f aca="false">장비_기본!F14</f>
        <v>공격력</v>
      </c>
      <c r="F79" s="20" t="n">
        <f aca="false">장비_기본!G14*INDEX(등급!$C$5:$C$12,MATCH($D79,등급!$A$5:$A$12,0))</f>
        <v>6.8</v>
      </c>
      <c r="G79" s="19" t="str">
        <f aca="false">장비_기본!H14</f>
        <v>치명타 피해</v>
      </c>
      <c r="H79" s="21" t="n">
        <f aca="false">장비_기본!I14*INDEX(등급!$C$5:$C$12,MATCH($D79,등급!$A$5:$A$12,0))</f>
        <v>0.051</v>
      </c>
      <c r="I79" s="19" t="str">
        <f aca="false">장비_기본!J14</f>
        <v>그로기 적에게 피해 +[값]%</v>
      </c>
      <c r="J79" s="20" t="n">
        <f aca="false">ROUND(장비_기본!K14*INDEX(등급!$F$5:$F$12,MATCH($D79,등급!$A$5:$A$12,0)),1)</f>
        <v>12</v>
      </c>
      <c r="K79" s="19" t="n">
        <f aca="false">INDEX(등급!$D$5:$D$12,MATCH($D79,등급!$A$5:$A$12,0))</f>
        <v>1</v>
      </c>
      <c r="L79" s="19" t="str">
        <f aca="false">IF(INDEX(등급!$H$5:$H$12,MATCH($D79,등급!$A$5:$A$12,0))=0,"-",IF(INDEX(등급!$G$5:$G$12,MATCH($D79,등급!$A$5:$A$12,0))=INDEX(등급!$H$5:$H$12,MATCH($D79,등급!$A$5:$A$12,0)),INDEX(등급!$G$5:$G$12,MATCH($D79,등급!$A$5:$A$12,0))&amp;"칸",INDEX(등급!$G$5:$G$12,MATCH($D79,등급!$A$5:$A$12,0))&amp;"~"&amp;INDEX(등급!$H$5:$H$12,MATCH($D79,등급!$A$5:$A$12,0))&amp;"칸"))</f>
        <v>-</v>
      </c>
      <c r="M79" s="19" t="str">
        <f aca="false">IF(INDEX(등급!$J$5:$J$12,MATCH($D79,등급!$A$5:$A$12,0))=0,"-",IF(INDEX(등급!$I$5:$I$12,MATCH($D79,등급!$A$5:$A$12,0))=INDEX(등급!$J$5:$J$12,MATCH($D79,등급!$A$5:$A$12,0)),INDEX(등급!$I$5:$I$12,MATCH($D79,등급!$A$5:$A$12,0))&amp;"개",INDEX(등급!$I$5:$I$12,MATCH($D79,등급!$A$5:$A$12,0))&amp;"~"&amp;INDEX(등급!$J$5:$J$12,MATCH($D79,등급!$A$5:$A$12,0))&amp;"개"))</f>
        <v>-</v>
      </c>
      <c r="N79" s="19" t="str">
        <f aca="false">IF(INDEX(등급!$L$5:$L$12,MATCH($D79,등급!$A$5:$A$12,0))=0,"-",INDEX(등급!$K$5:$K$12,MATCH($D79,등급!$A$5:$A$12,0))&amp;"~"&amp;INDEX(등급!$L$5:$L$12,MATCH($D79,등급!$A$5:$A$12,0))&amp;"개")</f>
        <v>-</v>
      </c>
    </row>
    <row r="80" customFormat="false" ht="15" hidden="false" customHeight="false" outlineLevel="0" collapsed="false">
      <c r="A80" s="19" t="str">
        <f aca="false">장비_기본!B14</f>
        <v>파쇄자의 대검</v>
      </c>
      <c r="B80" s="19" t="str">
        <f aca="false">장비_기본!C14</f>
        <v>무기</v>
      </c>
      <c r="C80" s="19" t="str">
        <f aca="false">장비_기본!D14</f>
        <v>근딜</v>
      </c>
      <c r="D80" s="8" t="s">
        <v>46</v>
      </c>
      <c r="E80" s="19" t="str">
        <f aca="false">장비_기본!F14</f>
        <v>공격력</v>
      </c>
      <c r="F80" s="20" t="n">
        <f aca="false">장비_기본!G14*INDEX(등급!$C$5:$C$12,MATCH($D80,등급!$A$5:$A$12,0))</f>
        <v>8.4</v>
      </c>
      <c r="G80" s="19" t="str">
        <f aca="false">장비_기본!H14</f>
        <v>치명타 피해</v>
      </c>
      <c r="H80" s="21" t="n">
        <f aca="false">장비_기본!I14*INDEX(등급!$C$5:$C$12,MATCH($D80,등급!$A$5:$A$12,0))</f>
        <v>0.063</v>
      </c>
      <c r="I80" s="19" t="str">
        <f aca="false">장비_기본!J14</f>
        <v>그로기 적에게 피해 +[값]%</v>
      </c>
      <c r="J80" s="20" t="n">
        <f aca="false">ROUND(장비_기본!K14*INDEX(등급!$F$5:$F$12,MATCH($D80,등급!$A$5:$A$12,0)),1)</f>
        <v>14</v>
      </c>
      <c r="K80" s="19" t="n">
        <f aca="false">INDEX(등급!$D$5:$D$12,MATCH($D80,등급!$A$5:$A$12,0))</f>
        <v>2</v>
      </c>
      <c r="L80" s="19" t="str">
        <f aca="false">IF(INDEX(등급!$H$5:$H$12,MATCH($D80,등급!$A$5:$A$12,0))=0,"-",IF(INDEX(등급!$G$5:$G$12,MATCH($D80,등급!$A$5:$A$12,0))=INDEX(등급!$H$5:$H$12,MATCH($D80,등급!$A$5:$A$12,0)),INDEX(등급!$G$5:$G$12,MATCH($D80,등급!$A$5:$A$12,0))&amp;"칸",INDEX(등급!$G$5:$G$12,MATCH($D80,등급!$A$5:$A$12,0))&amp;"~"&amp;INDEX(등급!$H$5:$H$12,MATCH($D80,등급!$A$5:$A$12,0))&amp;"칸"))</f>
        <v>-</v>
      </c>
      <c r="M80" s="19" t="str">
        <f aca="false">IF(INDEX(등급!$J$5:$J$12,MATCH($D80,등급!$A$5:$A$12,0))=0,"-",IF(INDEX(등급!$I$5:$I$12,MATCH($D80,등급!$A$5:$A$12,0))=INDEX(등급!$J$5:$J$12,MATCH($D80,등급!$A$5:$A$12,0)),INDEX(등급!$I$5:$I$12,MATCH($D80,등급!$A$5:$A$12,0))&amp;"개",INDEX(등급!$I$5:$I$12,MATCH($D80,등급!$A$5:$A$12,0))&amp;"~"&amp;INDEX(등급!$J$5:$J$12,MATCH($D80,등급!$A$5:$A$12,0))&amp;"개"))</f>
        <v>-</v>
      </c>
      <c r="N80" s="19" t="str">
        <f aca="false">IF(INDEX(등급!$L$5:$L$12,MATCH($D80,등급!$A$5:$A$12,0))=0,"-",INDEX(등급!$K$5:$K$12,MATCH($D80,등급!$A$5:$A$12,0))&amp;"~"&amp;INDEX(등급!$L$5:$L$12,MATCH($D80,등급!$A$5:$A$12,0))&amp;"개")</f>
        <v>-</v>
      </c>
    </row>
    <row r="81" customFormat="false" ht="15" hidden="false" customHeight="false" outlineLevel="0" collapsed="false">
      <c r="A81" s="19" t="str">
        <f aca="false">장비_기본!B14</f>
        <v>파쇄자의 대검</v>
      </c>
      <c r="B81" s="19" t="str">
        <f aca="false">장비_기본!C14</f>
        <v>무기</v>
      </c>
      <c r="C81" s="19" t="str">
        <f aca="false">장비_기본!D14</f>
        <v>근딜</v>
      </c>
      <c r="D81" s="8" t="s">
        <v>47</v>
      </c>
      <c r="E81" s="19" t="str">
        <f aca="false">장비_기본!F14</f>
        <v>공격력</v>
      </c>
      <c r="F81" s="20" t="n">
        <f aca="false">장비_기본!G14*INDEX(등급!$C$5:$C$12,MATCH($D81,등급!$A$5:$A$12,0))</f>
        <v>10.2</v>
      </c>
      <c r="G81" s="19" t="str">
        <f aca="false">장비_기본!H14</f>
        <v>치명타 피해</v>
      </c>
      <c r="H81" s="21" t="n">
        <f aca="false">장비_기본!I14*INDEX(등급!$C$5:$C$12,MATCH($D81,등급!$A$5:$A$12,0))</f>
        <v>0.0765</v>
      </c>
      <c r="I81" s="19" t="str">
        <f aca="false">장비_기본!J14</f>
        <v>그로기 적에게 피해 +[값]%</v>
      </c>
      <c r="J81" s="20" t="n">
        <f aca="false">ROUND(장비_기본!K14*INDEX(등급!$F$5:$F$12,MATCH($D81,등급!$A$5:$A$12,0)),1)</f>
        <v>16</v>
      </c>
      <c r="K81" s="19" t="n">
        <f aca="false">INDEX(등급!$D$5:$D$12,MATCH($D81,등급!$A$5:$A$12,0))</f>
        <v>3</v>
      </c>
      <c r="L81" s="19" t="str">
        <f aca="false">IF(INDEX(등급!$H$5:$H$12,MATCH($D81,등급!$A$5:$A$12,0))=0,"-",IF(INDEX(등급!$G$5:$G$12,MATCH($D81,등급!$A$5:$A$12,0))=INDEX(등급!$H$5:$H$12,MATCH($D81,등급!$A$5:$A$12,0)),INDEX(등급!$G$5:$G$12,MATCH($D81,등급!$A$5:$A$12,0))&amp;"칸",INDEX(등급!$G$5:$G$12,MATCH($D81,등급!$A$5:$A$12,0))&amp;"~"&amp;INDEX(등급!$H$5:$H$12,MATCH($D81,등급!$A$5:$A$12,0))&amp;"칸"))</f>
        <v>-</v>
      </c>
      <c r="M81" s="19" t="str">
        <f aca="false">IF(INDEX(등급!$J$5:$J$12,MATCH($D81,등급!$A$5:$A$12,0))=0,"-",IF(INDEX(등급!$I$5:$I$12,MATCH($D81,등급!$A$5:$A$12,0))=INDEX(등급!$J$5:$J$12,MATCH($D81,등급!$A$5:$A$12,0)),INDEX(등급!$I$5:$I$12,MATCH($D81,등급!$A$5:$A$12,0))&amp;"개",INDEX(등급!$I$5:$I$12,MATCH($D81,등급!$A$5:$A$12,0))&amp;"~"&amp;INDEX(등급!$J$5:$J$12,MATCH($D81,등급!$A$5:$A$12,0))&amp;"개"))</f>
        <v>-</v>
      </c>
      <c r="N81" s="19" t="str">
        <f aca="false">IF(INDEX(등급!$L$5:$L$12,MATCH($D81,등급!$A$5:$A$12,0))=0,"-",INDEX(등급!$K$5:$K$12,MATCH($D81,등급!$A$5:$A$12,0))&amp;"~"&amp;INDEX(등급!$L$5:$L$12,MATCH($D81,등급!$A$5:$A$12,0))&amp;"개")</f>
        <v>-</v>
      </c>
    </row>
    <row r="82" customFormat="false" ht="15" hidden="false" customHeight="false" outlineLevel="0" collapsed="false">
      <c r="A82" s="19" t="str">
        <f aca="false">장비_기본!B14</f>
        <v>파쇄자의 대검</v>
      </c>
      <c r="B82" s="19" t="str">
        <f aca="false">장비_기본!C14</f>
        <v>무기</v>
      </c>
      <c r="C82" s="19" t="str">
        <f aca="false">장비_기본!D14</f>
        <v>근딜</v>
      </c>
      <c r="D82" s="8" t="s">
        <v>48</v>
      </c>
      <c r="E82" s="19" t="str">
        <f aca="false">장비_기본!F14</f>
        <v>공격력</v>
      </c>
      <c r="F82" s="20" t="n">
        <f aca="false">장비_기본!G14*INDEX(등급!$C$5:$C$12,MATCH($D82,등급!$A$5:$A$12,0))</f>
        <v>12.2</v>
      </c>
      <c r="G82" s="19" t="str">
        <f aca="false">장비_기본!H14</f>
        <v>치명타 피해</v>
      </c>
      <c r="H82" s="21" t="n">
        <f aca="false">장비_기본!I14*INDEX(등급!$C$5:$C$12,MATCH($D82,등급!$A$5:$A$12,0))</f>
        <v>0.0915</v>
      </c>
      <c r="I82" s="19" t="str">
        <f aca="false">장비_기본!J14</f>
        <v>그로기 적에게 피해 +[값]%</v>
      </c>
      <c r="J82" s="20" t="n">
        <f aca="false">ROUND(장비_기본!K14*INDEX(등급!$F$5:$F$12,MATCH($D82,등급!$A$5:$A$12,0)),1)</f>
        <v>18.4</v>
      </c>
      <c r="K82" s="19" t="n">
        <f aca="false">INDEX(등급!$D$5:$D$12,MATCH($D82,등급!$A$5:$A$12,0))</f>
        <v>4</v>
      </c>
      <c r="L82" s="19" t="str">
        <f aca="false">IF(INDEX(등급!$H$5:$H$12,MATCH($D82,등급!$A$5:$A$12,0))=0,"-",IF(INDEX(등급!$G$5:$G$12,MATCH($D82,등급!$A$5:$A$12,0))=INDEX(등급!$H$5:$H$12,MATCH($D82,등급!$A$5:$A$12,0)),INDEX(등급!$G$5:$G$12,MATCH($D82,등급!$A$5:$A$12,0))&amp;"칸",INDEX(등급!$G$5:$G$12,MATCH($D82,등급!$A$5:$A$12,0))&amp;"~"&amp;INDEX(등급!$H$5:$H$12,MATCH($D82,등급!$A$5:$A$12,0))&amp;"칸"))</f>
        <v>-</v>
      </c>
      <c r="M82" s="19" t="str">
        <f aca="false">IF(INDEX(등급!$J$5:$J$12,MATCH($D82,등급!$A$5:$A$12,0))=0,"-",IF(INDEX(등급!$I$5:$I$12,MATCH($D82,등급!$A$5:$A$12,0))=INDEX(등급!$J$5:$J$12,MATCH($D82,등급!$A$5:$A$12,0)),INDEX(등급!$I$5:$I$12,MATCH($D82,등급!$A$5:$A$12,0))&amp;"개",INDEX(등급!$I$5:$I$12,MATCH($D82,등급!$A$5:$A$12,0))&amp;"~"&amp;INDEX(등급!$J$5:$J$12,MATCH($D82,등급!$A$5:$A$12,0))&amp;"개"))</f>
        <v>-</v>
      </c>
      <c r="N82" s="19" t="str">
        <f aca="false">IF(INDEX(등급!$L$5:$L$12,MATCH($D82,등급!$A$5:$A$12,0))=0,"-",INDEX(등급!$K$5:$K$12,MATCH($D82,등급!$A$5:$A$12,0))&amp;"~"&amp;INDEX(등급!$L$5:$L$12,MATCH($D82,등급!$A$5:$A$12,0))&amp;"개")</f>
        <v>-</v>
      </c>
    </row>
    <row r="83" customFormat="false" ht="15" hidden="false" customHeight="false" outlineLevel="0" collapsed="false">
      <c r="A83" s="19" t="str">
        <f aca="false">장비_기본!B14</f>
        <v>파쇄자의 대검</v>
      </c>
      <c r="B83" s="19" t="str">
        <f aca="false">장비_기본!C14</f>
        <v>무기</v>
      </c>
      <c r="C83" s="19" t="str">
        <f aca="false">장비_기본!D14</f>
        <v>근딜</v>
      </c>
      <c r="D83" s="8" t="s">
        <v>49</v>
      </c>
      <c r="E83" s="19" t="str">
        <f aca="false">장비_기본!F14</f>
        <v>공격력</v>
      </c>
      <c r="F83" s="20" t="n">
        <f aca="false">장비_기본!G14*INDEX(등급!$C$5:$C$12,MATCH($D83,등급!$A$5:$A$12,0))</f>
        <v>12.8</v>
      </c>
      <c r="G83" s="19" t="str">
        <f aca="false">장비_기본!H14</f>
        <v>치명타 피해</v>
      </c>
      <c r="H83" s="21" t="n">
        <f aca="false">장비_기본!I14*INDEX(등급!$C$5:$C$12,MATCH($D83,등급!$A$5:$A$12,0))</f>
        <v>0.096</v>
      </c>
      <c r="I83" s="19" t="str">
        <f aca="false">장비_기본!J14</f>
        <v>그로기 적에게 피해 +[값]%</v>
      </c>
      <c r="J83" s="20" t="n">
        <f aca="false">ROUND(장비_기본!K14*INDEX(등급!$F$5:$F$12,MATCH($D83,등급!$A$5:$A$12,0)),1)</f>
        <v>21.2</v>
      </c>
      <c r="K83" s="19" t="n">
        <f aca="false">INDEX(등급!$D$5:$D$12,MATCH($D83,등급!$A$5:$A$12,0))</f>
        <v>4</v>
      </c>
      <c r="L83" s="19" t="str">
        <f aca="false">IF(INDEX(등급!$H$5:$H$12,MATCH($D83,등급!$A$5:$A$12,0))=0,"-",IF(INDEX(등급!$G$5:$G$12,MATCH($D83,등급!$A$5:$A$12,0))=INDEX(등급!$H$5:$H$12,MATCH($D83,등급!$A$5:$A$12,0)),INDEX(등급!$G$5:$G$12,MATCH($D83,등급!$A$5:$A$12,0))&amp;"칸",INDEX(등급!$G$5:$G$12,MATCH($D83,등급!$A$5:$A$12,0))&amp;"~"&amp;INDEX(등급!$H$5:$H$12,MATCH($D83,등급!$A$5:$A$12,0))&amp;"칸"))</f>
        <v>1칸</v>
      </c>
      <c r="M83" s="19" t="str">
        <f aca="false">IF(INDEX(등급!$J$5:$J$12,MATCH($D83,등급!$A$5:$A$12,0))=0,"-",IF(INDEX(등급!$I$5:$I$12,MATCH($D83,등급!$A$5:$A$12,0))=INDEX(등급!$J$5:$J$12,MATCH($D83,등급!$A$5:$A$12,0)),INDEX(등급!$I$5:$I$12,MATCH($D83,등급!$A$5:$A$12,0))&amp;"개",INDEX(등급!$I$5:$I$12,MATCH($D83,등급!$A$5:$A$12,0))&amp;"~"&amp;INDEX(등급!$J$5:$J$12,MATCH($D83,등급!$A$5:$A$12,0))&amp;"개"))</f>
        <v>0~1개</v>
      </c>
      <c r="N83" s="19" t="str">
        <f aca="false">IF(INDEX(등급!$L$5:$L$12,MATCH($D83,등급!$A$5:$A$12,0))=0,"-",INDEX(등급!$K$5:$K$12,MATCH($D83,등급!$A$5:$A$12,0))&amp;"~"&amp;INDEX(등급!$L$5:$L$12,MATCH($D83,등급!$A$5:$A$12,0))&amp;"개")</f>
        <v>0~1개</v>
      </c>
    </row>
    <row r="84" customFormat="false" ht="15" hidden="false" customHeight="false" outlineLevel="0" collapsed="false">
      <c r="A84" s="19" t="str">
        <f aca="false">장비_기본!B14</f>
        <v>파쇄자의 대검</v>
      </c>
      <c r="B84" s="19" t="str">
        <f aca="false">장비_기본!C14</f>
        <v>무기</v>
      </c>
      <c r="C84" s="19" t="str">
        <f aca="false">장비_기본!D14</f>
        <v>근딜</v>
      </c>
      <c r="D84" s="8" t="s">
        <v>51</v>
      </c>
      <c r="E84" s="19" t="str">
        <f aca="false">장비_기본!F14</f>
        <v>공격력</v>
      </c>
      <c r="F84" s="20" t="n">
        <f aca="false">장비_기본!G14*INDEX(등급!$C$5:$C$12,MATCH($D84,등급!$A$5:$A$12,0))</f>
        <v>13.2</v>
      </c>
      <c r="G84" s="19" t="str">
        <f aca="false">장비_기본!H14</f>
        <v>치명타 피해</v>
      </c>
      <c r="H84" s="21" t="n">
        <f aca="false">장비_기본!I14*INDEX(등급!$C$5:$C$12,MATCH($D84,등급!$A$5:$A$12,0))</f>
        <v>0.099</v>
      </c>
      <c r="I84" s="19" t="str">
        <f aca="false">장비_기본!J14</f>
        <v>그로기 적에게 피해 +[값]%</v>
      </c>
      <c r="J84" s="20" t="n">
        <f aca="false">ROUND(장비_기본!K14*INDEX(등급!$F$5:$F$12,MATCH($D84,등급!$A$5:$A$12,0)),1)</f>
        <v>24</v>
      </c>
      <c r="K84" s="19" t="n">
        <f aca="false">INDEX(등급!$D$5:$D$12,MATCH($D84,등급!$A$5:$A$12,0))</f>
        <v>4</v>
      </c>
      <c r="L84" s="19" t="str">
        <f aca="false">IF(INDEX(등급!$H$5:$H$12,MATCH($D84,등급!$A$5:$A$12,0))=0,"-",IF(INDEX(등급!$G$5:$G$12,MATCH($D84,등급!$A$5:$A$12,0))=INDEX(등급!$H$5:$H$12,MATCH($D84,등급!$A$5:$A$12,0)),INDEX(등급!$G$5:$G$12,MATCH($D84,등급!$A$5:$A$12,0))&amp;"칸",INDEX(등급!$G$5:$G$12,MATCH($D84,등급!$A$5:$A$12,0))&amp;"~"&amp;INDEX(등급!$H$5:$H$12,MATCH($D84,등급!$A$5:$A$12,0))&amp;"칸"))</f>
        <v>1~3칸</v>
      </c>
      <c r="M84" s="19" t="str">
        <f aca="false">IF(INDEX(등급!$J$5:$J$12,MATCH($D84,등급!$A$5:$A$12,0))=0,"-",IF(INDEX(등급!$I$5:$I$12,MATCH($D84,등급!$A$5:$A$12,0))=INDEX(등급!$J$5:$J$12,MATCH($D84,등급!$A$5:$A$12,0)),INDEX(등급!$I$5:$I$12,MATCH($D84,등급!$A$5:$A$12,0))&amp;"개",INDEX(등급!$I$5:$I$12,MATCH($D84,등급!$A$5:$A$12,0))&amp;"~"&amp;INDEX(등급!$J$5:$J$12,MATCH($D84,등급!$A$5:$A$12,0))&amp;"개"))</f>
        <v>1개</v>
      </c>
      <c r="N84" s="19" t="str">
        <f aca="false">IF(INDEX(등급!$L$5:$L$12,MATCH($D84,등급!$A$5:$A$12,0))=0,"-",INDEX(등급!$K$5:$K$12,MATCH($D84,등급!$A$5:$A$12,0))&amp;"~"&amp;INDEX(등급!$L$5:$L$12,MATCH($D84,등급!$A$5:$A$12,0))&amp;"개")</f>
        <v>0~2개</v>
      </c>
    </row>
    <row r="85" customFormat="false" ht="15" hidden="false" customHeight="false" outlineLevel="0" collapsed="false">
      <c r="A85" s="19" t="str">
        <f aca="false">장비_기본!B15</f>
        <v>그림자 단검</v>
      </c>
      <c r="B85" s="19" t="str">
        <f aca="false">장비_기본!C15</f>
        <v>무기</v>
      </c>
      <c r="C85" s="19" t="str">
        <f aca="false">장비_기본!D15</f>
        <v>근딜</v>
      </c>
      <c r="D85" s="8" t="s">
        <v>43</v>
      </c>
      <c r="E85" s="19" t="str">
        <f aca="false">장비_기본!F15</f>
        <v>공격력</v>
      </c>
      <c r="F85" s="20" t="n">
        <f aca="false">장비_기본!G15*INDEX(등급!$C$5:$C$12,MATCH($D85,등급!$A$5:$A$12,0))</f>
        <v>4</v>
      </c>
      <c r="G85" s="19" t="str">
        <f aca="false">장비_기본!H15</f>
        <v>치명타 피해</v>
      </c>
      <c r="H85" s="21" t="n">
        <f aca="false">장비_기본!I15*INDEX(등급!$C$5:$C$12,MATCH($D85,등급!$A$5:$A$12,0))</f>
        <v>0.03</v>
      </c>
      <c r="I85" s="19" t="str">
        <f aca="false">장비_기본!J15</f>
        <v>② 회전 베기 범위 +[값]%</v>
      </c>
      <c r="J85" s="20" t="n">
        <f aca="false">ROUND(장비_기본!K15*INDEX(등급!$F$5:$F$12,MATCH($D85,등급!$A$5:$A$12,0)),1)</f>
        <v>5</v>
      </c>
      <c r="K85" s="19" t="n">
        <f aca="false">INDEX(등급!$D$5:$D$12,MATCH($D85,등급!$A$5:$A$12,0))</f>
        <v>0</v>
      </c>
      <c r="L85" s="19" t="str">
        <f aca="false">IF(INDEX(등급!$H$5:$H$12,MATCH($D85,등급!$A$5:$A$12,0))=0,"-",IF(INDEX(등급!$G$5:$G$12,MATCH($D85,등급!$A$5:$A$12,0))=INDEX(등급!$H$5:$H$12,MATCH($D85,등급!$A$5:$A$12,0)),INDEX(등급!$G$5:$G$12,MATCH($D85,등급!$A$5:$A$12,0))&amp;"칸",INDEX(등급!$G$5:$G$12,MATCH($D85,등급!$A$5:$A$12,0))&amp;"~"&amp;INDEX(등급!$H$5:$H$12,MATCH($D85,등급!$A$5:$A$12,0))&amp;"칸"))</f>
        <v>-</v>
      </c>
      <c r="M85" s="19" t="str">
        <f aca="false">IF(INDEX(등급!$J$5:$J$12,MATCH($D85,등급!$A$5:$A$12,0))=0,"-",IF(INDEX(등급!$I$5:$I$12,MATCH($D85,등급!$A$5:$A$12,0))=INDEX(등급!$J$5:$J$12,MATCH($D85,등급!$A$5:$A$12,0)),INDEX(등급!$I$5:$I$12,MATCH($D85,등급!$A$5:$A$12,0))&amp;"개",INDEX(등급!$I$5:$I$12,MATCH($D85,등급!$A$5:$A$12,0))&amp;"~"&amp;INDEX(등급!$J$5:$J$12,MATCH($D85,등급!$A$5:$A$12,0))&amp;"개"))</f>
        <v>-</v>
      </c>
      <c r="N85" s="19" t="str">
        <f aca="false">IF(INDEX(등급!$L$5:$L$12,MATCH($D85,등급!$A$5:$A$12,0))=0,"-",INDEX(등급!$K$5:$K$12,MATCH($D85,등급!$A$5:$A$12,0))&amp;"~"&amp;INDEX(등급!$L$5:$L$12,MATCH($D85,등급!$A$5:$A$12,0))&amp;"개")</f>
        <v>-</v>
      </c>
    </row>
    <row r="86" customFormat="false" ht="15" hidden="false" customHeight="false" outlineLevel="0" collapsed="false">
      <c r="A86" s="19" t="str">
        <f aca="false">장비_기본!B15</f>
        <v>그림자 단검</v>
      </c>
      <c r="B86" s="19" t="str">
        <f aca="false">장비_기본!C15</f>
        <v>무기</v>
      </c>
      <c r="C86" s="19" t="str">
        <f aca="false">장비_기본!D15</f>
        <v>근딜</v>
      </c>
      <c r="D86" s="8" t="s">
        <v>44</v>
      </c>
      <c r="E86" s="19" t="str">
        <f aca="false">장비_기본!F15</f>
        <v>공격력</v>
      </c>
      <c r="F86" s="20" t="n">
        <f aca="false">장비_기본!G15*INDEX(등급!$C$5:$C$12,MATCH($D86,등급!$A$5:$A$12,0))</f>
        <v>5.8</v>
      </c>
      <c r="G86" s="19" t="str">
        <f aca="false">장비_기본!H15</f>
        <v>치명타 피해</v>
      </c>
      <c r="H86" s="21" t="n">
        <f aca="false">장비_기본!I15*INDEX(등급!$C$5:$C$12,MATCH($D86,등급!$A$5:$A$12,0))</f>
        <v>0.0435</v>
      </c>
      <c r="I86" s="19" t="str">
        <f aca="false">장비_기본!J15</f>
        <v>② 회전 베기 범위 +[값]%</v>
      </c>
      <c r="J86" s="20" t="n">
        <f aca="false">ROUND(장비_기본!K15*INDEX(등급!$F$5:$F$12,MATCH($D86,등급!$A$5:$A$12,0)),1)</f>
        <v>6.8</v>
      </c>
      <c r="K86" s="19" t="n">
        <f aca="false">INDEX(등급!$D$5:$D$12,MATCH($D86,등급!$A$5:$A$12,0))</f>
        <v>0</v>
      </c>
      <c r="L86" s="19" t="str">
        <f aca="false">IF(INDEX(등급!$H$5:$H$12,MATCH($D86,등급!$A$5:$A$12,0))=0,"-",IF(INDEX(등급!$G$5:$G$12,MATCH($D86,등급!$A$5:$A$12,0))=INDEX(등급!$H$5:$H$12,MATCH($D86,등급!$A$5:$A$12,0)),INDEX(등급!$G$5:$G$12,MATCH($D86,등급!$A$5:$A$12,0))&amp;"칸",INDEX(등급!$G$5:$G$12,MATCH($D86,등급!$A$5:$A$12,0))&amp;"~"&amp;INDEX(등급!$H$5:$H$12,MATCH($D86,등급!$A$5:$A$12,0))&amp;"칸"))</f>
        <v>-</v>
      </c>
      <c r="M86" s="19" t="str">
        <f aca="false">IF(INDEX(등급!$J$5:$J$12,MATCH($D86,등급!$A$5:$A$12,0))=0,"-",IF(INDEX(등급!$I$5:$I$12,MATCH($D86,등급!$A$5:$A$12,0))=INDEX(등급!$J$5:$J$12,MATCH($D86,등급!$A$5:$A$12,0)),INDEX(등급!$I$5:$I$12,MATCH($D86,등급!$A$5:$A$12,0))&amp;"개",INDEX(등급!$I$5:$I$12,MATCH($D86,등급!$A$5:$A$12,0))&amp;"~"&amp;INDEX(등급!$J$5:$J$12,MATCH($D86,등급!$A$5:$A$12,0))&amp;"개"))</f>
        <v>-</v>
      </c>
      <c r="N86" s="19" t="str">
        <f aca="false">IF(INDEX(등급!$L$5:$L$12,MATCH($D86,등급!$A$5:$A$12,0))=0,"-",INDEX(등급!$K$5:$K$12,MATCH($D86,등급!$A$5:$A$12,0))&amp;"~"&amp;INDEX(등급!$L$5:$L$12,MATCH($D86,등급!$A$5:$A$12,0))&amp;"개")</f>
        <v>-</v>
      </c>
    </row>
    <row r="87" customFormat="false" ht="15" hidden="false" customHeight="false" outlineLevel="0" collapsed="false">
      <c r="A87" s="19" t="str">
        <f aca="false">장비_기본!B15</f>
        <v>그림자 단검</v>
      </c>
      <c r="B87" s="19" t="str">
        <f aca="false">장비_기본!C15</f>
        <v>무기</v>
      </c>
      <c r="C87" s="19" t="str">
        <f aca="false">장비_기본!D15</f>
        <v>근딜</v>
      </c>
      <c r="D87" s="8" t="s">
        <v>45</v>
      </c>
      <c r="E87" s="19" t="str">
        <f aca="false">장비_기본!F15</f>
        <v>공격력</v>
      </c>
      <c r="F87" s="20" t="n">
        <f aca="false">장비_기본!G15*INDEX(등급!$C$5:$C$12,MATCH($D87,등급!$A$5:$A$12,0))</f>
        <v>6.8</v>
      </c>
      <c r="G87" s="19" t="str">
        <f aca="false">장비_기본!H15</f>
        <v>치명타 피해</v>
      </c>
      <c r="H87" s="21" t="n">
        <f aca="false">장비_기본!I15*INDEX(등급!$C$5:$C$12,MATCH($D87,등급!$A$5:$A$12,0))</f>
        <v>0.051</v>
      </c>
      <c r="I87" s="19" t="str">
        <f aca="false">장비_기본!J15</f>
        <v>② 회전 베기 범위 +[값]%</v>
      </c>
      <c r="J87" s="20" t="n">
        <f aca="false">ROUND(장비_기본!K15*INDEX(등급!$F$5:$F$12,MATCH($D87,등급!$A$5:$A$12,0)),1)</f>
        <v>7.5</v>
      </c>
      <c r="K87" s="19" t="n">
        <f aca="false">INDEX(등급!$D$5:$D$12,MATCH($D87,등급!$A$5:$A$12,0))</f>
        <v>1</v>
      </c>
      <c r="L87" s="19" t="str">
        <f aca="false">IF(INDEX(등급!$H$5:$H$12,MATCH($D87,등급!$A$5:$A$12,0))=0,"-",IF(INDEX(등급!$G$5:$G$12,MATCH($D87,등급!$A$5:$A$12,0))=INDEX(등급!$H$5:$H$12,MATCH($D87,등급!$A$5:$A$12,0)),INDEX(등급!$G$5:$G$12,MATCH($D87,등급!$A$5:$A$12,0))&amp;"칸",INDEX(등급!$G$5:$G$12,MATCH($D87,등급!$A$5:$A$12,0))&amp;"~"&amp;INDEX(등급!$H$5:$H$12,MATCH($D87,등급!$A$5:$A$12,0))&amp;"칸"))</f>
        <v>-</v>
      </c>
      <c r="M87" s="19" t="str">
        <f aca="false">IF(INDEX(등급!$J$5:$J$12,MATCH($D87,등급!$A$5:$A$12,0))=0,"-",IF(INDEX(등급!$I$5:$I$12,MATCH($D87,등급!$A$5:$A$12,0))=INDEX(등급!$J$5:$J$12,MATCH($D87,등급!$A$5:$A$12,0)),INDEX(등급!$I$5:$I$12,MATCH($D87,등급!$A$5:$A$12,0))&amp;"개",INDEX(등급!$I$5:$I$12,MATCH($D87,등급!$A$5:$A$12,0))&amp;"~"&amp;INDEX(등급!$J$5:$J$12,MATCH($D87,등급!$A$5:$A$12,0))&amp;"개"))</f>
        <v>-</v>
      </c>
      <c r="N87" s="19" t="str">
        <f aca="false">IF(INDEX(등급!$L$5:$L$12,MATCH($D87,등급!$A$5:$A$12,0))=0,"-",INDEX(등급!$K$5:$K$12,MATCH($D87,등급!$A$5:$A$12,0))&amp;"~"&amp;INDEX(등급!$L$5:$L$12,MATCH($D87,등급!$A$5:$A$12,0))&amp;"개")</f>
        <v>-</v>
      </c>
    </row>
    <row r="88" customFormat="false" ht="15" hidden="false" customHeight="false" outlineLevel="0" collapsed="false">
      <c r="A88" s="19" t="str">
        <f aca="false">장비_기본!B15</f>
        <v>그림자 단검</v>
      </c>
      <c r="B88" s="19" t="str">
        <f aca="false">장비_기본!C15</f>
        <v>무기</v>
      </c>
      <c r="C88" s="19" t="str">
        <f aca="false">장비_기본!D15</f>
        <v>근딜</v>
      </c>
      <c r="D88" s="8" t="s">
        <v>46</v>
      </c>
      <c r="E88" s="19" t="str">
        <f aca="false">장비_기본!F15</f>
        <v>공격력</v>
      </c>
      <c r="F88" s="20" t="n">
        <f aca="false">장비_기본!G15*INDEX(등급!$C$5:$C$12,MATCH($D88,등급!$A$5:$A$12,0))</f>
        <v>8.4</v>
      </c>
      <c r="G88" s="19" t="str">
        <f aca="false">장비_기본!H15</f>
        <v>치명타 피해</v>
      </c>
      <c r="H88" s="21" t="n">
        <f aca="false">장비_기본!I15*INDEX(등급!$C$5:$C$12,MATCH($D88,등급!$A$5:$A$12,0))</f>
        <v>0.063</v>
      </c>
      <c r="I88" s="19" t="str">
        <f aca="false">장비_기본!J15</f>
        <v>② 회전 베기 범위 +[값]%</v>
      </c>
      <c r="J88" s="20" t="n">
        <f aca="false">ROUND(장비_기본!K15*INDEX(등급!$F$5:$F$12,MATCH($D88,등급!$A$5:$A$12,0)),1)</f>
        <v>8.8</v>
      </c>
      <c r="K88" s="19" t="n">
        <f aca="false">INDEX(등급!$D$5:$D$12,MATCH($D88,등급!$A$5:$A$12,0))</f>
        <v>2</v>
      </c>
      <c r="L88" s="19" t="str">
        <f aca="false">IF(INDEX(등급!$H$5:$H$12,MATCH($D88,등급!$A$5:$A$12,0))=0,"-",IF(INDEX(등급!$G$5:$G$12,MATCH($D88,등급!$A$5:$A$12,0))=INDEX(등급!$H$5:$H$12,MATCH($D88,등급!$A$5:$A$12,0)),INDEX(등급!$G$5:$G$12,MATCH($D88,등급!$A$5:$A$12,0))&amp;"칸",INDEX(등급!$G$5:$G$12,MATCH($D88,등급!$A$5:$A$12,0))&amp;"~"&amp;INDEX(등급!$H$5:$H$12,MATCH($D88,등급!$A$5:$A$12,0))&amp;"칸"))</f>
        <v>-</v>
      </c>
      <c r="M88" s="19" t="str">
        <f aca="false">IF(INDEX(등급!$J$5:$J$12,MATCH($D88,등급!$A$5:$A$12,0))=0,"-",IF(INDEX(등급!$I$5:$I$12,MATCH($D88,등급!$A$5:$A$12,0))=INDEX(등급!$J$5:$J$12,MATCH($D88,등급!$A$5:$A$12,0)),INDEX(등급!$I$5:$I$12,MATCH($D88,등급!$A$5:$A$12,0))&amp;"개",INDEX(등급!$I$5:$I$12,MATCH($D88,등급!$A$5:$A$12,0))&amp;"~"&amp;INDEX(등급!$J$5:$J$12,MATCH($D88,등급!$A$5:$A$12,0))&amp;"개"))</f>
        <v>-</v>
      </c>
      <c r="N88" s="19" t="str">
        <f aca="false">IF(INDEX(등급!$L$5:$L$12,MATCH($D88,등급!$A$5:$A$12,0))=0,"-",INDEX(등급!$K$5:$K$12,MATCH($D88,등급!$A$5:$A$12,0))&amp;"~"&amp;INDEX(등급!$L$5:$L$12,MATCH($D88,등급!$A$5:$A$12,0))&amp;"개")</f>
        <v>-</v>
      </c>
    </row>
    <row r="89" customFormat="false" ht="15" hidden="false" customHeight="false" outlineLevel="0" collapsed="false">
      <c r="A89" s="19" t="str">
        <f aca="false">장비_기본!B15</f>
        <v>그림자 단검</v>
      </c>
      <c r="B89" s="19" t="str">
        <f aca="false">장비_기본!C15</f>
        <v>무기</v>
      </c>
      <c r="C89" s="19" t="str">
        <f aca="false">장비_기본!D15</f>
        <v>근딜</v>
      </c>
      <c r="D89" s="8" t="s">
        <v>47</v>
      </c>
      <c r="E89" s="19" t="str">
        <f aca="false">장비_기본!F15</f>
        <v>공격력</v>
      </c>
      <c r="F89" s="20" t="n">
        <f aca="false">장비_기본!G15*INDEX(등급!$C$5:$C$12,MATCH($D89,등급!$A$5:$A$12,0))</f>
        <v>10.2</v>
      </c>
      <c r="G89" s="19" t="str">
        <f aca="false">장비_기본!H15</f>
        <v>치명타 피해</v>
      </c>
      <c r="H89" s="21" t="n">
        <f aca="false">장비_기본!I15*INDEX(등급!$C$5:$C$12,MATCH($D89,등급!$A$5:$A$12,0))</f>
        <v>0.0765</v>
      </c>
      <c r="I89" s="19" t="str">
        <f aca="false">장비_기본!J15</f>
        <v>② 회전 베기 범위 +[값]%</v>
      </c>
      <c r="J89" s="20" t="n">
        <f aca="false">ROUND(장비_기본!K15*INDEX(등급!$F$5:$F$12,MATCH($D89,등급!$A$5:$A$12,0)),1)</f>
        <v>10</v>
      </c>
      <c r="K89" s="19" t="n">
        <f aca="false">INDEX(등급!$D$5:$D$12,MATCH($D89,등급!$A$5:$A$12,0))</f>
        <v>3</v>
      </c>
      <c r="L89" s="19" t="str">
        <f aca="false">IF(INDEX(등급!$H$5:$H$12,MATCH($D89,등급!$A$5:$A$12,0))=0,"-",IF(INDEX(등급!$G$5:$G$12,MATCH($D89,등급!$A$5:$A$12,0))=INDEX(등급!$H$5:$H$12,MATCH($D89,등급!$A$5:$A$12,0)),INDEX(등급!$G$5:$G$12,MATCH($D89,등급!$A$5:$A$12,0))&amp;"칸",INDEX(등급!$G$5:$G$12,MATCH($D89,등급!$A$5:$A$12,0))&amp;"~"&amp;INDEX(등급!$H$5:$H$12,MATCH($D89,등급!$A$5:$A$12,0))&amp;"칸"))</f>
        <v>-</v>
      </c>
      <c r="M89" s="19" t="str">
        <f aca="false">IF(INDEX(등급!$J$5:$J$12,MATCH($D89,등급!$A$5:$A$12,0))=0,"-",IF(INDEX(등급!$I$5:$I$12,MATCH($D89,등급!$A$5:$A$12,0))=INDEX(등급!$J$5:$J$12,MATCH($D89,등급!$A$5:$A$12,0)),INDEX(등급!$I$5:$I$12,MATCH($D89,등급!$A$5:$A$12,0))&amp;"개",INDEX(등급!$I$5:$I$12,MATCH($D89,등급!$A$5:$A$12,0))&amp;"~"&amp;INDEX(등급!$J$5:$J$12,MATCH($D89,등급!$A$5:$A$12,0))&amp;"개"))</f>
        <v>-</v>
      </c>
      <c r="N89" s="19" t="str">
        <f aca="false">IF(INDEX(등급!$L$5:$L$12,MATCH($D89,등급!$A$5:$A$12,0))=0,"-",INDEX(등급!$K$5:$K$12,MATCH($D89,등급!$A$5:$A$12,0))&amp;"~"&amp;INDEX(등급!$L$5:$L$12,MATCH($D89,등급!$A$5:$A$12,0))&amp;"개")</f>
        <v>-</v>
      </c>
    </row>
    <row r="90" customFormat="false" ht="15" hidden="false" customHeight="false" outlineLevel="0" collapsed="false">
      <c r="A90" s="19" t="str">
        <f aca="false">장비_기본!B15</f>
        <v>그림자 단검</v>
      </c>
      <c r="B90" s="19" t="str">
        <f aca="false">장비_기본!C15</f>
        <v>무기</v>
      </c>
      <c r="C90" s="19" t="str">
        <f aca="false">장비_기본!D15</f>
        <v>근딜</v>
      </c>
      <c r="D90" s="8" t="s">
        <v>48</v>
      </c>
      <c r="E90" s="19" t="str">
        <f aca="false">장비_기본!F15</f>
        <v>공격력</v>
      </c>
      <c r="F90" s="20" t="n">
        <f aca="false">장비_기본!G15*INDEX(등급!$C$5:$C$12,MATCH($D90,등급!$A$5:$A$12,0))</f>
        <v>12.2</v>
      </c>
      <c r="G90" s="19" t="str">
        <f aca="false">장비_기본!H15</f>
        <v>치명타 피해</v>
      </c>
      <c r="H90" s="21" t="n">
        <f aca="false">장비_기본!I15*INDEX(등급!$C$5:$C$12,MATCH($D90,등급!$A$5:$A$12,0))</f>
        <v>0.0915</v>
      </c>
      <c r="I90" s="19" t="str">
        <f aca="false">장비_기본!J15</f>
        <v>② 회전 베기 범위 +[값]%</v>
      </c>
      <c r="J90" s="20" t="n">
        <f aca="false">ROUND(장비_기본!K15*INDEX(등급!$F$5:$F$12,MATCH($D90,등급!$A$5:$A$12,0)),1)</f>
        <v>11.5</v>
      </c>
      <c r="K90" s="19" t="n">
        <f aca="false">INDEX(등급!$D$5:$D$12,MATCH($D90,등급!$A$5:$A$12,0))</f>
        <v>4</v>
      </c>
      <c r="L90" s="19" t="str">
        <f aca="false">IF(INDEX(등급!$H$5:$H$12,MATCH($D90,등급!$A$5:$A$12,0))=0,"-",IF(INDEX(등급!$G$5:$G$12,MATCH($D90,등급!$A$5:$A$12,0))=INDEX(등급!$H$5:$H$12,MATCH($D90,등급!$A$5:$A$12,0)),INDEX(등급!$G$5:$G$12,MATCH($D90,등급!$A$5:$A$12,0))&amp;"칸",INDEX(등급!$G$5:$G$12,MATCH($D90,등급!$A$5:$A$12,0))&amp;"~"&amp;INDEX(등급!$H$5:$H$12,MATCH($D90,등급!$A$5:$A$12,0))&amp;"칸"))</f>
        <v>-</v>
      </c>
      <c r="M90" s="19" t="str">
        <f aca="false">IF(INDEX(등급!$J$5:$J$12,MATCH($D90,등급!$A$5:$A$12,0))=0,"-",IF(INDEX(등급!$I$5:$I$12,MATCH($D90,등급!$A$5:$A$12,0))=INDEX(등급!$J$5:$J$12,MATCH($D90,등급!$A$5:$A$12,0)),INDEX(등급!$I$5:$I$12,MATCH($D90,등급!$A$5:$A$12,0))&amp;"개",INDEX(등급!$I$5:$I$12,MATCH($D90,등급!$A$5:$A$12,0))&amp;"~"&amp;INDEX(등급!$J$5:$J$12,MATCH($D90,등급!$A$5:$A$12,0))&amp;"개"))</f>
        <v>-</v>
      </c>
      <c r="N90" s="19" t="str">
        <f aca="false">IF(INDEX(등급!$L$5:$L$12,MATCH($D90,등급!$A$5:$A$12,0))=0,"-",INDEX(등급!$K$5:$K$12,MATCH($D90,등급!$A$5:$A$12,0))&amp;"~"&amp;INDEX(등급!$L$5:$L$12,MATCH($D90,등급!$A$5:$A$12,0))&amp;"개")</f>
        <v>-</v>
      </c>
    </row>
    <row r="91" customFormat="false" ht="15" hidden="false" customHeight="false" outlineLevel="0" collapsed="false">
      <c r="A91" s="19" t="str">
        <f aca="false">장비_기본!B15</f>
        <v>그림자 단검</v>
      </c>
      <c r="B91" s="19" t="str">
        <f aca="false">장비_기본!C15</f>
        <v>무기</v>
      </c>
      <c r="C91" s="19" t="str">
        <f aca="false">장비_기본!D15</f>
        <v>근딜</v>
      </c>
      <c r="D91" s="8" t="s">
        <v>49</v>
      </c>
      <c r="E91" s="19" t="str">
        <f aca="false">장비_기본!F15</f>
        <v>공격력</v>
      </c>
      <c r="F91" s="20" t="n">
        <f aca="false">장비_기본!G15*INDEX(등급!$C$5:$C$12,MATCH($D91,등급!$A$5:$A$12,0))</f>
        <v>12.8</v>
      </c>
      <c r="G91" s="19" t="str">
        <f aca="false">장비_기본!H15</f>
        <v>치명타 피해</v>
      </c>
      <c r="H91" s="21" t="n">
        <f aca="false">장비_기본!I15*INDEX(등급!$C$5:$C$12,MATCH($D91,등급!$A$5:$A$12,0))</f>
        <v>0.096</v>
      </c>
      <c r="I91" s="19" t="str">
        <f aca="false">장비_기본!J15</f>
        <v>② 회전 베기 범위 +[값]%</v>
      </c>
      <c r="J91" s="20" t="n">
        <f aca="false">ROUND(장비_기본!K15*INDEX(등급!$F$5:$F$12,MATCH($D91,등급!$A$5:$A$12,0)),1)</f>
        <v>13.3</v>
      </c>
      <c r="K91" s="19" t="n">
        <f aca="false">INDEX(등급!$D$5:$D$12,MATCH($D91,등급!$A$5:$A$12,0))</f>
        <v>4</v>
      </c>
      <c r="L91" s="19" t="str">
        <f aca="false">IF(INDEX(등급!$H$5:$H$12,MATCH($D91,등급!$A$5:$A$12,0))=0,"-",IF(INDEX(등급!$G$5:$G$12,MATCH($D91,등급!$A$5:$A$12,0))=INDEX(등급!$H$5:$H$12,MATCH($D91,등급!$A$5:$A$12,0)),INDEX(등급!$G$5:$G$12,MATCH($D91,등급!$A$5:$A$12,0))&amp;"칸",INDEX(등급!$G$5:$G$12,MATCH($D91,등급!$A$5:$A$12,0))&amp;"~"&amp;INDEX(등급!$H$5:$H$12,MATCH($D91,등급!$A$5:$A$12,0))&amp;"칸"))</f>
        <v>1칸</v>
      </c>
      <c r="M91" s="19" t="str">
        <f aca="false">IF(INDEX(등급!$J$5:$J$12,MATCH($D91,등급!$A$5:$A$12,0))=0,"-",IF(INDEX(등급!$I$5:$I$12,MATCH($D91,등급!$A$5:$A$12,0))=INDEX(등급!$J$5:$J$12,MATCH($D91,등급!$A$5:$A$12,0)),INDEX(등급!$I$5:$I$12,MATCH($D91,등급!$A$5:$A$12,0))&amp;"개",INDEX(등급!$I$5:$I$12,MATCH($D91,등급!$A$5:$A$12,0))&amp;"~"&amp;INDEX(등급!$J$5:$J$12,MATCH($D91,등급!$A$5:$A$12,0))&amp;"개"))</f>
        <v>0~1개</v>
      </c>
      <c r="N91" s="19" t="str">
        <f aca="false">IF(INDEX(등급!$L$5:$L$12,MATCH($D91,등급!$A$5:$A$12,0))=0,"-",INDEX(등급!$K$5:$K$12,MATCH($D91,등급!$A$5:$A$12,0))&amp;"~"&amp;INDEX(등급!$L$5:$L$12,MATCH($D91,등급!$A$5:$A$12,0))&amp;"개")</f>
        <v>0~1개</v>
      </c>
    </row>
    <row r="92" customFormat="false" ht="15" hidden="false" customHeight="false" outlineLevel="0" collapsed="false">
      <c r="A92" s="19" t="str">
        <f aca="false">장비_기본!B15</f>
        <v>그림자 단검</v>
      </c>
      <c r="B92" s="19" t="str">
        <f aca="false">장비_기본!C15</f>
        <v>무기</v>
      </c>
      <c r="C92" s="19" t="str">
        <f aca="false">장비_기본!D15</f>
        <v>근딜</v>
      </c>
      <c r="D92" s="8" t="s">
        <v>51</v>
      </c>
      <c r="E92" s="19" t="str">
        <f aca="false">장비_기본!F15</f>
        <v>공격력</v>
      </c>
      <c r="F92" s="20" t="n">
        <f aca="false">장비_기본!G15*INDEX(등급!$C$5:$C$12,MATCH($D92,등급!$A$5:$A$12,0))</f>
        <v>13.2</v>
      </c>
      <c r="G92" s="19" t="str">
        <f aca="false">장비_기본!H15</f>
        <v>치명타 피해</v>
      </c>
      <c r="H92" s="21" t="n">
        <f aca="false">장비_기본!I15*INDEX(등급!$C$5:$C$12,MATCH($D92,등급!$A$5:$A$12,0))</f>
        <v>0.099</v>
      </c>
      <c r="I92" s="19" t="str">
        <f aca="false">장비_기본!J15</f>
        <v>② 회전 베기 범위 +[값]%</v>
      </c>
      <c r="J92" s="20" t="n">
        <f aca="false">ROUND(장비_기본!K15*INDEX(등급!$F$5:$F$12,MATCH($D92,등급!$A$5:$A$12,0)),1)</f>
        <v>15</v>
      </c>
      <c r="K92" s="19" t="n">
        <f aca="false">INDEX(등급!$D$5:$D$12,MATCH($D92,등급!$A$5:$A$12,0))</f>
        <v>4</v>
      </c>
      <c r="L92" s="19" t="str">
        <f aca="false">IF(INDEX(등급!$H$5:$H$12,MATCH($D92,등급!$A$5:$A$12,0))=0,"-",IF(INDEX(등급!$G$5:$G$12,MATCH($D92,등급!$A$5:$A$12,0))=INDEX(등급!$H$5:$H$12,MATCH($D92,등급!$A$5:$A$12,0)),INDEX(등급!$G$5:$G$12,MATCH($D92,등급!$A$5:$A$12,0))&amp;"칸",INDEX(등급!$G$5:$G$12,MATCH($D92,등급!$A$5:$A$12,0))&amp;"~"&amp;INDEX(등급!$H$5:$H$12,MATCH($D92,등급!$A$5:$A$12,0))&amp;"칸"))</f>
        <v>1~3칸</v>
      </c>
      <c r="M92" s="19" t="str">
        <f aca="false">IF(INDEX(등급!$J$5:$J$12,MATCH($D92,등급!$A$5:$A$12,0))=0,"-",IF(INDEX(등급!$I$5:$I$12,MATCH($D92,등급!$A$5:$A$12,0))=INDEX(등급!$J$5:$J$12,MATCH($D92,등급!$A$5:$A$12,0)),INDEX(등급!$I$5:$I$12,MATCH($D92,등급!$A$5:$A$12,0))&amp;"개",INDEX(등급!$I$5:$I$12,MATCH($D92,등급!$A$5:$A$12,0))&amp;"~"&amp;INDEX(등급!$J$5:$J$12,MATCH($D92,등급!$A$5:$A$12,0))&amp;"개"))</f>
        <v>1개</v>
      </c>
      <c r="N92" s="19" t="str">
        <f aca="false">IF(INDEX(등급!$L$5:$L$12,MATCH($D92,등급!$A$5:$A$12,0))=0,"-",INDEX(등급!$K$5:$K$12,MATCH($D92,등급!$A$5:$A$12,0))&amp;"~"&amp;INDEX(등급!$L$5:$L$12,MATCH($D92,등급!$A$5:$A$12,0))&amp;"개")</f>
        <v>0~2개</v>
      </c>
    </row>
    <row r="93" customFormat="false" ht="15" hidden="false" customHeight="false" outlineLevel="0" collapsed="false">
      <c r="A93" s="19" t="str">
        <f aca="false">장비_기본!B16</f>
        <v>사냥꾼의 가죽갑</v>
      </c>
      <c r="B93" s="19" t="str">
        <f aca="false">장비_기본!C16</f>
        <v>갑옷</v>
      </c>
      <c r="C93" s="19" t="str">
        <f aca="false">장비_기본!D16</f>
        <v>근딜</v>
      </c>
      <c r="D93" s="8" t="s">
        <v>43</v>
      </c>
      <c r="E93" s="19" t="str">
        <f aca="false">장비_기본!F16</f>
        <v>체력</v>
      </c>
      <c r="F93" s="20" t="n">
        <f aca="false">장비_기본!G16*INDEX(등급!$C$5:$C$12,MATCH($D93,등급!$A$5:$A$12,0))</f>
        <v>30</v>
      </c>
      <c r="G93" s="19" t="str">
        <f aca="false">장비_기본!H16</f>
        <v>공격 속도</v>
      </c>
      <c r="H93" s="21" t="n">
        <f aca="false">장비_기본!I16*INDEX(등급!$C$5:$C$12,MATCH($D93,등급!$A$5:$A$12,0))</f>
        <v>0.02</v>
      </c>
      <c r="I93" s="19" t="str">
        <f aca="false">장비_기본!J16</f>
        <v>적 처치 시 2초간 공격 속도 +[값]%</v>
      </c>
      <c r="J93" s="20" t="n">
        <f aca="false">ROUND(장비_기본!K16*INDEX(등급!$F$5:$F$12,MATCH($D93,등급!$A$5:$A$12,0)),1)</f>
        <v>10</v>
      </c>
      <c r="K93" s="19" t="n">
        <f aca="false">INDEX(등급!$D$5:$D$12,MATCH($D93,등급!$A$5:$A$12,0))</f>
        <v>0</v>
      </c>
      <c r="L93" s="19" t="str">
        <f aca="false">IF(INDEX(등급!$H$5:$H$12,MATCH($D93,등급!$A$5:$A$12,0))=0,"-",IF(INDEX(등급!$G$5:$G$12,MATCH($D93,등급!$A$5:$A$12,0))=INDEX(등급!$H$5:$H$12,MATCH($D93,등급!$A$5:$A$12,0)),INDEX(등급!$G$5:$G$12,MATCH($D93,등급!$A$5:$A$12,0))&amp;"칸",INDEX(등급!$G$5:$G$12,MATCH($D93,등급!$A$5:$A$12,0))&amp;"~"&amp;INDEX(등급!$H$5:$H$12,MATCH($D93,등급!$A$5:$A$12,0))&amp;"칸"))</f>
        <v>-</v>
      </c>
      <c r="M93" s="19" t="str">
        <f aca="false">IF(INDEX(등급!$J$5:$J$12,MATCH($D93,등급!$A$5:$A$12,0))=0,"-",IF(INDEX(등급!$I$5:$I$12,MATCH($D93,등급!$A$5:$A$12,0))=INDEX(등급!$J$5:$J$12,MATCH($D93,등급!$A$5:$A$12,0)),INDEX(등급!$I$5:$I$12,MATCH($D93,등급!$A$5:$A$12,0))&amp;"개",INDEX(등급!$I$5:$I$12,MATCH($D93,등급!$A$5:$A$12,0))&amp;"~"&amp;INDEX(등급!$J$5:$J$12,MATCH($D93,등급!$A$5:$A$12,0))&amp;"개"))</f>
        <v>-</v>
      </c>
      <c r="N93" s="19" t="str">
        <f aca="false">IF(INDEX(등급!$L$5:$L$12,MATCH($D93,등급!$A$5:$A$12,0))=0,"-",INDEX(등급!$K$5:$K$12,MATCH($D93,등급!$A$5:$A$12,0))&amp;"~"&amp;INDEX(등급!$L$5:$L$12,MATCH($D93,등급!$A$5:$A$12,0))&amp;"개")</f>
        <v>-</v>
      </c>
    </row>
    <row r="94" customFormat="false" ht="15" hidden="false" customHeight="false" outlineLevel="0" collapsed="false">
      <c r="A94" s="19" t="str">
        <f aca="false">장비_기본!B16</f>
        <v>사냥꾼의 가죽갑</v>
      </c>
      <c r="B94" s="19" t="str">
        <f aca="false">장비_기본!C16</f>
        <v>갑옷</v>
      </c>
      <c r="C94" s="19" t="str">
        <f aca="false">장비_기본!D16</f>
        <v>근딜</v>
      </c>
      <c r="D94" s="8" t="s">
        <v>44</v>
      </c>
      <c r="E94" s="19" t="str">
        <f aca="false">장비_기본!F16</f>
        <v>체력</v>
      </c>
      <c r="F94" s="20" t="n">
        <f aca="false">장비_기본!G16*INDEX(등급!$C$5:$C$12,MATCH($D94,등급!$A$5:$A$12,0))</f>
        <v>43.5</v>
      </c>
      <c r="G94" s="19" t="str">
        <f aca="false">장비_기본!H16</f>
        <v>공격 속도</v>
      </c>
      <c r="H94" s="21" t="n">
        <f aca="false">장비_기본!I16*INDEX(등급!$C$5:$C$12,MATCH($D94,등급!$A$5:$A$12,0))</f>
        <v>0.029</v>
      </c>
      <c r="I94" s="19" t="str">
        <f aca="false">장비_기본!J16</f>
        <v>적 처치 시 2초간 공격 속도 +[값]%</v>
      </c>
      <c r="J94" s="20" t="n">
        <f aca="false">ROUND(장비_기본!K16*INDEX(등급!$F$5:$F$12,MATCH($D94,등급!$A$5:$A$12,0)),1)</f>
        <v>13.5</v>
      </c>
      <c r="K94" s="19" t="n">
        <f aca="false">INDEX(등급!$D$5:$D$12,MATCH($D94,등급!$A$5:$A$12,0))</f>
        <v>0</v>
      </c>
      <c r="L94" s="19" t="str">
        <f aca="false">IF(INDEX(등급!$H$5:$H$12,MATCH($D94,등급!$A$5:$A$12,0))=0,"-",IF(INDEX(등급!$G$5:$G$12,MATCH($D94,등급!$A$5:$A$12,0))=INDEX(등급!$H$5:$H$12,MATCH($D94,등급!$A$5:$A$12,0)),INDEX(등급!$G$5:$G$12,MATCH($D94,등급!$A$5:$A$12,0))&amp;"칸",INDEX(등급!$G$5:$G$12,MATCH($D94,등급!$A$5:$A$12,0))&amp;"~"&amp;INDEX(등급!$H$5:$H$12,MATCH($D94,등급!$A$5:$A$12,0))&amp;"칸"))</f>
        <v>-</v>
      </c>
      <c r="M94" s="19" t="str">
        <f aca="false">IF(INDEX(등급!$J$5:$J$12,MATCH($D94,등급!$A$5:$A$12,0))=0,"-",IF(INDEX(등급!$I$5:$I$12,MATCH($D94,등급!$A$5:$A$12,0))=INDEX(등급!$J$5:$J$12,MATCH($D94,등급!$A$5:$A$12,0)),INDEX(등급!$I$5:$I$12,MATCH($D94,등급!$A$5:$A$12,0))&amp;"개",INDEX(등급!$I$5:$I$12,MATCH($D94,등급!$A$5:$A$12,0))&amp;"~"&amp;INDEX(등급!$J$5:$J$12,MATCH($D94,등급!$A$5:$A$12,0))&amp;"개"))</f>
        <v>-</v>
      </c>
      <c r="N94" s="19" t="str">
        <f aca="false">IF(INDEX(등급!$L$5:$L$12,MATCH($D94,등급!$A$5:$A$12,0))=0,"-",INDEX(등급!$K$5:$K$12,MATCH($D94,등급!$A$5:$A$12,0))&amp;"~"&amp;INDEX(등급!$L$5:$L$12,MATCH($D94,등급!$A$5:$A$12,0))&amp;"개")</f>
        <v>-</v>
      </c>
    </row>
    <row r="95" customFormat="false" ht="15" hidden="false" customHeight="false" outlineLevel="0" collapsed="false">
      <c r="A95" s="19" t="str">
        <f aca="false">장비_기본!B16</f>
        <v>사냥꾼의 가죽갑</v>
      </c>
      <c r="B95" s="19" t="str">
        <f aca="false">장비_기본!C16</f>
        <v>갑옷</v>
      </c>
      <c r="C95" s="19" t="str">
        <f aca="false">장비_기본!D16</f>
        <v>근딜</v>
      </c>
      <c r="D95" s="8" t="s">
        <v>45</v>
      </c>
      <c r="E95" s="19" t="str">
        <f aca="false">장비_기본!F16</f>
        <v>체력</v>
      </c>
      <c r="F95" s="20" t="n">
        <f aca="false">장비_기본!G16*INDEX(등급!$C$5:$C$12,MATCH($D95,등급!$A$5:$A$12,0))</f>
        <v>51</v>
      </c>
      <c r="G95" s="19" t="str">
        <f aca="false">장비_기본!H16</f>
        <v>공격 속도</v>
      </c>
      <c r="H95" s="21" t="n">
        <f aca="false">장비_기본!I16*INDEX(등급!$C$5:$C$12,MATCH($D95,등급!$A$5:$A$12,0))</f>
        <v>0.034</v>
      </c>
      <c r="I95" s="19" t="str">
        <f aca="false">장비_기본!J16</f>
        <v>적 처치 시 2초간 공격 속도 +[값]%</v>
      </c>
      <c r="J95" s="20" t="n">
        <f aca="false">ROUND(장비_기본!K16*INDEX(등급!$F$5:$F$12,MATCH($D95,등급!$A$5:$A$12,0)),1)</f>
        <v>15</v>
      </c>
      <c r="K95" s="19" t="n">
        <f aca="false">INDEX(등급!$D$5:$D$12,MATCH($D95,등급!$A$5:$A$12,0))</f>
        <v>1</v>
      </c>
      <c r="L95" s="19" t="str">
        <f aca="false">IF(INDEX(등급!$H$5:$H$12,MATCH($D95,등급!$A$5:$A$12,0))=0,"-",IF(INDEX(등급!$G$5:$G$12,MATCH($D95,등급!$A$5:$A$12,0))=INDEX(등급!$H$5:$H$12,MATCH($D95,등급!$A$5:$A$12,0)),INDEX(등급!$G$5:$G$12,MATCH($D95,등급!$A$5:$A$12,0))&amp;"칸",INDEX(등급!$G$5:$G$12,MATCH($D95,등급!$A$5:$A$12,0))&amp;"~"&amp;INDEX(등급!$H$5:$H$12,MATCH($D95,등급!$A$5:$A$12,0))&amp;"칸"))</f>
        <v>-</v>
      </c>
      <c r="M95" s="19" t="str">
        <f aca="false">IF(INDEX(등급!$J$5:$J$12,MATCH($D95,등급!$A$5:$A$12,0))=0,"-",IF(INDEX(등급!$I$5:$I$12,MATCH($D95,등급!$A$5:$A$12,0))=INDEX(등급!$J$5:$J$12,MATCH($D95,등급!$A$5:$A$12,0)),INDEX(등급!$I$5:$I$12,MATCH($D95,등급!$A$5:$A$12,0))&amp;"개",INDEX(등급!$I$5:$I$12,MATCH($D95,등급!$A$5:$A$12,0))&amp;"~"&amp;INDEX(등급!$J$5:$J$12,MATCH($D95,등급!$A$5:$A$12,0))&amp;"개"))</f>
        <v>-</v>
      </c>
      <c r="N95" s="19" t="str">
        <f aca="false">IF(INDEX(등급!$L$5:$L$12,MATCH($D95,등급!$A$5:$A$12,0))=0,"-",INDEX(등급!$K$5:$K$12,MATCH($D95,등급!$A$5:$A$12,0))&amp;"~"&amp;INDEX(등급!$L$5:$L$12,MATCH($D95,등급!$A$5:$A$12,0))&amp;"개")</f>
        <v>-</v>
      </c>
    </row>
    <row r="96" customFormat="false" ht="15" hidden="false" customHeight="false" outlineLevel="0" collapsed="false">
      <c r="A96" s="19" t="str">
        <f aca="false">장비_기본!B16</f>
        <v>사냥꾼의 가죽갑</v>
      </c>
      <c r="B96" s="19" t="str">
        <f aca="false">장비_기본!C16</f>
        <v>갑옷</v>
      </c>
      <c r="C96" s="19" t="str">
        <f aca="false">장비_기본!D16</f>
        <v>근딜</v>
      </c>
      <c r="D96" s="8" t="s">
        <v>46</v>
      </c>
      <c r="E96" s="19" t="str">
        <f aca="false">장비_기본!F16</f>
        <v>체력</v>
      </c>
      <c r="F96" s="20" t="n">
        <f aca="false">장비_기본!G16*INDEX(등급!$C$5:$C$12,MATCH($D96,등급!$A$5:$A$12,0))</f>
        <v>63</v>
      </c>
      <c r="G96" s="19" t="str">
        <f aca="false">장비_기본!H16</f>
        <v>공격 속도</v>
      </c>
      <c r="H96" s="21" t="n">
        <f aca="false">장비_기본!I16*INDEX(등급!$C$5:$C$12,MATCH($D96,등급!$A$5:$A$12,0))</f>
        <v>0.042</v>
      </c>
      <c r="I96" s="19" t="str">
        <f aca="false">장비_기본!J16</f>
        <v>적 처치 시 2초간 공격 속도 +[값]%</v>
      </c>
      <c r="J96" s="20" t="n">
        <f aca="false">ROUND(장비_기본!K16*INDEX(등급!$F$5:$F$12,MATCH($D96,등급!$A$5:$A$12,0)),1)</f>
        <v>17.5</v>
      </c>
      <c r="K96" s="19" t="n">
        <f aca="false">INDEX(등급!$D$5:$D$12,MATCH($D96,등급!$A$5:$A$12,0))</f>
        <v>2</v>
      </c>
      <c r="L96" s="19" t="str">
        <f aca="false">IF(INDEX(등급!$H$5:$H$12,MATCH($D96,등급!$A$5:$A$12,0))=0,"-",IF(INDEX(등급!$G$5:$G$12,MATCH($D96,등급!$A$5:$A$12,0))=INDEX(등급!$H$5:$H$12,MATCH($D96,등급!$A$5:$A$12,0)),INDEX(등급!$G$5:$G$12,MATCH($D96,등급!$A$5:$A$12,0))&amp;"칸",INDEX(등급!$G$5:$G$12,MATCH($D96,등급!$A$5:$A$12,0))&amp;"~"&amp;INDEX(등급!$H$5:$H$12,MATCH($D96,등급!$A$5:$A$12,0))&amp;"칸"))</f>
        <v>-</v>
      </c>
      <c r="M96" s="19" t="str">
        <f aca="false">IF(INDEX(등급!$J$5:$J$12,MATCH($D96,등급!$A$5:$A$12,0))=0,"-",IF(INDEX(등급!$I$5:$I$12,MATCH($D96,등급!$A$5:$A$12,0))=INDEX(등급!$J$5:$J$12,MATCH($D96,등급!$A$5:$A$12,0)),INDEX(등급!$I$5:$I$12,MATCH($D96,등급!$A$5:$A$12,0))&amp;"개",INDEX(등급!$I$5:$I$12,MATCH($D96,등급!$A$5:$A$12,0))&amp;"~"&amp;INDEX(등급!$J$5:$J$12,MATCH($D96,등급!$A$5:$A$12,0))&amp;"개"))</f>
        <v>-</v>
      </c>
      <c r="N96" s="19" t="str">
        <f aca="false">IF(INDEX(등급!$L$5:$L$12,MATCH($D96,등급!$A$5:$A$12,0))=0,"-",INDEX(등급!$K$5:$K$12,MATCH($D96,등급!$A$5:$A$12,0))&amp;"~"&amp;INDEX(등급!$L$5:$L$12,MATCH($D96,등급!$A$5:$A$12,0))&amp;"개")</f>
        <v>-</v>
      </c>
    </row>
    <row r="97" customFormat="false" ht="15" hidden="false" customHeight="false" outlineLevel="0" collapsed="false">
      <c r="A97" s="19" t="str">
        <f aca="false">장비_기본!B16</f>
        <v>사냥꾼의 가죽갑</v>
      </c>
      <c r="B97" s="19" t="str">
        <f aca="false">장비_기본!C16</f>
        <v>갑옷</v>
      </c>
      <c r="C97" s="19" t="str">
        <f aca="false">장비_기본!D16</f>
        <v>근딜</v>
      </c>
      <c r="D97" s="8" t="s">
        <v>47</v>
      </c>
      <c r="E97" s="19" t="str">
        <f aca="false">장비_기본!F16</f>
        <v>체력</v>
      </c>
      <c r="F97" s="20" t="n">
        <f aca="false">장비_기본!G16*INDEX(등급!$C$5:$C$12,MATCH($D97,등급!$A$5:$A$12,0))</f>
        <v>76.5</v>
      </c>
      <c r="G97" s="19" t="str">
        <f aca="false">장비_기본!H16</f>
        <v>공격 속도</v>
      </c>
      <c r="H97" s="21" t="n">
        <f aca="false">장비_기본!I16*INDEX(등급!$C$5:$C$12,MATCH($D97,등급!$A$5:$A$12,0))</f>
        <v>0.051</v>
      </c>
      <c r="I97" s="19" t="str">
        <f aca="false">장비_기본!J16</f>
        <v>적 처치 시 2초간 공격 속도 +[값]%</v>
      </c>
      <c r="J97" s="20" t="n">
        <f aca="false">ROUND(장비_기본!K16*INDEX(등급!$F$5:$F$12,MATCH($D97,등급!$A$5:$A$12,0)),1)</f>
        <v>20</v>
      </c>
      <c r="K97" s="19" t="n">
        <f aca="false">INDEX(등급!$D$5:$D$12,MATCH($D97,등급!$A$5:$A$12,0))</f>
        <v>3</v>
      </c>
      <c r="L97" s="19" t="str">
        <f aca="false">IF(INDEX(등급!$H$5:$H$12,MATCH($D97,등급!$A$5:$A$12,0))=0,"-",IF(INDEX(등급!$G$5:$G$12,MATCH($D97,등급!$A$5:$A$12,0))=INDEX(등급!$H$5:$H$12,MATCH($D97,등급!$A$5:$A$12,0)),INDEX(등급!$G$5:$G$12,MATCH($D97,등급!$A$5:$A$12,0))&amp;"칸",INDEX(등급!$G$5:$G$12,MATCH($D97,등급!$A$5:$A$12,0))&amp;"~"&amp;INDEX(등급!$H$5:$H$12,MATCH($D97,등급!$A$5:$A$12,0))&amp;"칸"))</f>
        <v>-</v>
      </c>
      <c r="M97" s="19" t="str">
        <f aca="false">IF(INDEX(등급!$J$5:$J$12,MATCH($D97,등급!$A$5:$A$12,0))=0,"-",IF(INDEX(등급!$I$5:$I$12,MATCH($D97,등급!$A$5:$A$12,0))=INDEX(등급!$J$5:$J$12,MATCH($D97,등급!$A$5:$A$12,0)),INDEX(등급!$I$5:$I$12,MATCH($D97,등급!$A$5:$A$12,0))&amp;"개",INDEX(등급!$I$5:$I$12,MATCH($D97,등급!$A$5:$A$12,0))&amp;"~"&amp;INDEX(등급!$J$5:$J$12,MATCH($D97,등급!$A$5:$A$12,0))&amp;"개"))</f>
        <v>-</v>
      </c>
      <c r="N97" s="19" t="str">
        <f aca="false">IF(INDEX(등급!$L$5:$L$12,MATCH($D97,등급!$A$5:$A$12,0))=0,"-",INDEX(등급!$K$5:$K$12,MATCH($D97,등급!$A$5:$A$12,0))&amp;"~"&amp;INDEX(등급!$L$5:$L$12,MATCH($D97,등급!$A$5:$A$12,0))&amp;"개")</f>
        <v>-</v>
      </c>
    </row>
    <row r="98" customFormat="false" ht="15" hidden="false" customHeight="false" outlineLevel="0" collapsed="false">
      <c r="A98" s="19" t="str">
        <f aca="false">장비_기본!B16</f>
        <v>사냥꾼의 가죽갑</v>
      </c>
      <c r="B98" s="19" t="str">
        <f aca="false">장비_기본!C16</f>
        <v>갑옷</v>
      </c>
      <c r="C98" s="19" t="str">
        <f aca="false">장비_기본!D16</f>
        <v>근딜</v>
      </c>
      <c r="D98" s="8" t="s">
        <v>48</v>
      </c>
      <c r="E98" s="19" t="str">
        <f aca="false">장비_기본!F16</f>
        <v>체력</v>
      </c>
      <c r="F98" s="20" t="n">
        <f aca="false">장비_기본!G16*INDEX(등급!$C$5:$C$12,MATCH($D98,등급!$A$5:$A$12,0))</f>
        <v>91.5</v>
      </c>
      <c r="G98" s="19" t="str">
        <f aca="false">장비_기본!H16</f>
        <v>공격 속도</v>
      </c>
      <c r="H98" s="21" t="n">
        <f aca="false">장비_기본!I16*INDEX(등급!$C$5:$C$12,MATCH($D98,등급!$A$5:$A$12,0))</f>
        <v>0.061</v>
      </c>
      <c r="I98" s="19" t="str">
        <f aca="false">장비_기본!J16</f>
        <v>적 처치 시 2초간 공격 속도 +[값]%</v>
      </c>
      <c r="J98" s="20" t="n">
        <f aca="false">ROUND(장비_기본!K16*INDEX(등급!$F$5:$F$12,MATCH($D98,등급!$A$5:$A$12,0)),1)</f>
        <v>23</v>
      </c>
      <c r="K98" s="19" t="n">
        <f aca="false">INDEX(등급!$D$5:$D$12,MATCH($D98,등급!$A$5:$A$12,0))</f>
        <v>4</v>
      </c>
      <c r="L98" s="19" t="str">
        <f aca="false">IF(INDEX(등급!$H$5:$H$12,MATCH($D98,등급!$A$5:$A$12,0))=0,"-",IF(INDEX(등급!$G$5:$G$12,MATCH($D98,등급!$A$5:$A$12,0))=INDEX(등급!$H$5:$H$12,MATCH($D98,등급!$A$5:$A$12,0)),INDEX(등급!$G$5:$G$12,MATCH($D98,등급!$A$5:$A$12,0))&amp;"칸",INDEX(등급!$G$5:$G$12,MATCH($D98,등급!$A$5:$A$12,0))&amp;"~"&amp;INDEX(등급!$H$5:$H$12,MATCH($D98,등급!$A$5:$A$12,0))&amp;"칸"))</f>
        <v>-</v>
      </c>
      <c r="M98" s="19" t="str">
        <f aca="false">IF(INDEX(등급!$J$5:$J$12,MATCH($D98,등급!$A$5:$A$12,0))=0,"-",IF(INDEX(등급!$I$5:$I$12,MATCH($D98,등급!$A$5:$A$12,0))=INDEX(등급!$J$5:$J$12,MATCH($D98,등급!$A$5:$A$12,0)),INDEX(등급!$I$5:$I$12,MATCH($D98,등급!$A$5:$A$12,0))&amp;"개",INDEX(등급!$I$5:$I$12,MATCH($D98,등급!$A$5:$A$12,0))&amp;"~"&amp;INDEX(등급!$J$5:$J$12,MATCH($D98,등급!$A$5:$A$12,0))&amp;"개"))</f>
        <v>-</v>
      </c>
      <c r="N98" s="19" t="str">
        <f aca="false">IF(INDEX(등급!$L$5:$L$12,MATCH($D98,등급!$A$5:$A$12,0))=0,"-",INDEX(등급!$K$5:$K$12,MATCH($D98,등급!$A$5:$A$12,0))&amp;"~"&amp;INDEX(등급!$L$5:$L$12,MATCH($D98,등급!$A$5:$A$12,0))&amp;"개")</f>
        <v>-</v>
      </c>
    </row>
    <row r="99" customFormat="false" ht="15" hidden="false" customHeight="false" outlineLevel="0" collapsed="false">
      <c r="A99" s="19" t="str">
        <f aca="false">장비_기본!B16</f>
        <v>사냥꾼의 가죽갑</v>
      </c>
      <c r="B99" s="19" t="str">
        <f aca="false">장비_기본!C16</f>
        <v>갑옷</v>
      </c>
      <c r="C99" s="19" t="str">
        <f aca="false">장비_기본!D16</f>
        <v>근딜</v>
      </c>
      <c r="D99" s="8" t="s">
        <v>49</v>
      </c>
      <c r="E99" s="19" t="str">
        <f aca="false">장비_기본!F16</f>
        <v>체력</v>
      </c>
      <c r="F99" s="20" t="n">
        <f aca="false">장비_기본!G16*INDEX(등급!$C$5:$C$12,MATCH($D99,등급!$A$5:$A$12,0))</f>
        <v>96</v>
      </c>
      <c r="G99" s="19" t="str">
        <f aca="false">장비_기본!H16</f>
        <v>공격 속도</v>
      </c>
      <c r="H99" s="21" t="n">
        <f aca="false">장비_기본!I16*INDEX(등급!$C$5:$C$12,MATCH($D99,등급!$A$5:$A$12,0))</f>
        <v>0.064</v>
      </c>
      <c r="I99" s="19" t="str">
        <f aca="false">장비_기본!J16</f>
        <v>적 처치 시 2초간 공격 속도 +[값]%</v>
      </c>
      <c r="J99" s="20" t="n">
        <f aca="false">ROUND(장비_기본!K16*INDEX(등급!$F$5:$F$12,MATCH($D99,등급!$A$5:$A$12,0)),1)</f>
        <v>26.5</v>
      </c>
      <c r="K99" s="19" t="n">
        <f aca="false">INDEX(등급!$D$5:$D$12,MATCH($D99,등급!$A$5:$A$12,0))</f>
        <v>4</v>
      </c>
      <c r="L99" s="19" t="str">
        <f aca="false">IF(INDEX(등급!$H$5:$H$12,MATCH($D99,등급!$A$5:$A$12,0))=0,"-",IF(INDEX(등급!$G$5:$G$12,MATCH($D99,등급!$A$5:$A$12,0))=INDEX(등급!$H$5:$H$12,MATCH($D99,등급!$A$5:$A$12,0)),INDEX(등급!$G$5:$G$12,MATCH($D99,등급!$A$5:$A$12,0))&amp;"칸",INDEX(등급!$G$5:$G$12,MATCH($D99,등급!$A$5:$A$12,0))&amp;"~"&amp;INDEX(등급!$H$5:$H$12,MATCH($D99,등급!$A$5:$A$12,0))&amp;"칸"))</f>
        <v>1칸</v>
      </c>
      <c r="M99" s="19" t="str">
        <f aca="false">IF(INDEX(등급!$J$5:$J$12,MATCH($D99,등급!$A$5:$A$12,0))=0,"-",IF(INDEX(등급!$I$5:$I$12,MATCH($D99,등급!$A$5:$A$12,0))=INDEX(등급!$J$5:$J$12,MATCH($D99,등급!$A$5:$A$12,0)),INDEX(등급!$I$5:$I$12,MATCH($D99,등급!$A$5:$A$12,0))&amp;"개",INDEX(등급!$I$5:$I$12,MATCH($D99,등급!$A$5:$A$12,0))&amp;"~"&amp;INDEX(등급!$J$5:$J$12,MATCH($D99,등급!$A$5:$A$12,0))&amp;"개"))</f>
        <v>0~1개</v>
      </c>
      <c r="N99" s="19" t="str">
        <f aca="false">IF(INDEX(등급!$L$5:$L$12,MATCH($D99,등급!$A$5:$A$12,0))=0,"-",INDEX(등급!$K$5:$K$12,MATCH($D99,등급!$A$5:$A$12,0))&amp;"~"&amp;INDEX(등급!$L$5:$L$12,MATCH($D99,등급!$A$5:$A$12,0))&amp;"개")</f>
        <v>0~1개</v>
      </c>
    </row>
    <row r="100" customFormat="false" ht="15" hidden="false" customHeight="false" outlineLevel="0" collapsed="false">
      <c r="A100" s="19" t="str">
        <f aca="false">장비_기본!B16</f>
        <v>사냥꾼의 가죽갑</v>
      </c>
      <c r="B100" s="19" t="str">
        <f aca="false">장비_기본!C16</f>
        <v>갑옷</v>
      </c>
      <c r="C100" s="19" t="str">
        <f aca="false">장비_기본!D16</f>
        <v>근딜</v>
      </c>
      <c r="D100" s="8" t="s">
        <v>51</v>
      </c>
      <c r="E100" s="19" t="str">
        <f aca="false">장비_기본!F16</f>
        <v>체력</v>
      </c>
      <c r="F100" s="20" t="n">
        <f aca="false">장비_기본!G16*INDEX(등급!$C$5:$C$12,MATCH($D100,등급!$A$5:$A$12,0))</f>
        <v>99</v>
      </c>
      <c r="G100" s="19" t="str">
        <f aca="false">장비_기본!H16</f>
        <v>공격 속도</v>
      </c>
      <c r="H100" s="21" t="n">
        <f aca="false">장비_기본!I16*INDEX(등급!$C$5:$C$12,MATCH($D100,등급!$A$5:$A$12,0))</f>
        <v>0.066</v>
      </c>
      <c r="I100" s="19" t="str">
        <f aca="false">장비_기본!J16</f>
        <v>적 처치 시 2초간 공격 속도 +[값]%</v>
      </c>
      <c r="J100" s="20" t="n">
        <f aca="false">ROUND(장비_기본!K16*INDEX(등급!$F$5:$F$12,MATCH($D100,등급!$A$5:$A$12,0)),1)</f>
        <v>30</v>
      </c>
      <c r="K100" s="19" t="n">
        <f aca="false">INDEX(등급!$D$5:$D$12,MATCH($D100,등급!$A$5:$A$12,0))</f>
        <v>4</v>
      </c>
      <c r="L100" s="19" t="str">
        <f aca="false">IF(INDEX(등급!$H$5:$H$12,MATCH($D100,등급!$A$5:$A$12,0))=0,"-",IF(INDEX(등급!$G$5:$G$12,MATCH($D100,등급!$A$5:$A$12,0))=INDEX(등급!$H$5:$H$12,MATCH($D100,등급!$A$5:$A$12,0)),INDEX(등급!$G$5:$G$12,MATCH($D100,등급!$A$5:$A$12,0))&amp;"칸",INDEX(등급!$G$5:$G$12,MATCH($D100,등급!$A$5:$A$12,0))&amp;"~"&amp;INDEX(등급!$H$5:$H$12,MATCH($D100,등급!$A$5:$A$12,0))&amp;"칸"))</f>
        <v>1~3칸</v>
      </c>
      <c r="M100" s="19" t="str">
        <f aca="false">IF(INDEX(등급!$J$5:$J$12,MATCH($D100,등급!$A$5:$A$12,0))=0,"-",IF(INDEX(등급!$I$5:$I$12,MATCH($D100,등급!$A$5:$A$12,0))=INDEX(등급!$J$5:$J$12,MATCH($D100,등급!$A$5:$A$12,0)),INDEX(등급!$I$5:$I$12,MATCH($D100,등급!$A$5:$A$12,0))&amp;"개",INDEX(등급!$I$5:$I$12,MATCH($D100,등급!$A$5:$A$12,0))&amp;"~"&amp;INDEX(등급!$J$5:$J$12,MATCH($D100,등급!$A$5:$A$12,0))&amp;"개"))</f>
        <v>1개</v>
      </c>
      <c r="N100" s="19" t="str">
        <f aca="false">IF(INDEX(등급!$L$5:$L$12,MATCH($D100,등급!$A$5:$A$12,0))=0,"-",INDEX(등급!$K$5:$K$12,MATCH($D100,등급!$A$5:$A$12,0))&amp;"~"&amp;INDEX(등급!$L$5:$L$12,MATCH($D100,등급!$A$5:$A$12,0))&amp;"개")</f>
        <v>0~2개</v>
      </c>
    </row>
    <row r="101" customFormat="false" ht="15" hidden="false" customHeight="false" outlineLevel="0" collapsed="false">
      <c r="A101" s="19" t="str">
        <f aca="false">장비_기본!B17</f>
        <v>검무사의 경갑</v>
      </c>
      <c r="B101" s="19" t="str">
        <f aca="false">장비_기본!C17</f>
        <v>갑옷</v>
      </c>
      <c r="C101" s="19" t="str">
        <f aca="false">장비_기본!D17</f>
        <v>근딜</v>
      </c>
      <c r="D101" s="8" t="s">
        <v>43</v>
      </c>
      <c r="E101" s="19" t="str">
        <f aca="false">장비_기본!F17</f>
        <v>체력</v>
      </c>
      <c r="F101" s="20" t="n">
        <f aca="false">장비_기본!G17*INDEX(등급!$C$5:$C$12,MATCH($D101,등급!$A$5:$A$12,0))</f>
        <v>30</v>
      </c>
      <c r="G101" s="19" t="str">
        <f aca="false">장비_기본!H17</f>
        <v>공격 속도</v>
      </c>
      <c r="H101" s="21" t="n">
        <f aca="false">장비_기본!I17*INDEX(등급!$C$5:$C$12,MATCH($D101,등급!$A$5:$A$12,0))</f>
        <v>0.02</v>
      </c>
      <c r="I101" s="19" t="str">
        <f aca="false">장비_기본!J17</f>
        <v>② 회전 베기 쿨타임 -[값]%</v>
      </c>
      <c r="J101" s="20" t="n">
        <f aca="false">ROUND(장비_기본!K17*INDEX(등급!$F$5:$F$12,MATCH($D101,등급!$A$5:$A$12,0)),1)</f>
        <v>4</v>
      </c>
      <c r="K101" s="19" t="n">
        <f aca="false">INDEX(등급!$D$5:$D$12,MATCH($D101,등급!$A$5:$A$12,0))</f>
        <v>0</v>
      </c>
      <c r="L101" s="19" t="str">
        <f aca="false">IF(INDEX(등급!$H$5:$H$12,MATCH($D101,등급!$A$5:$A$12,0))=0,"-",IF(INDEX(등급!$G$5:$G$12,MATCH($D101,등급!$A$5:$A$12,0))=INDEX(등급!$H$5:$H$12,MATCH($D101,등급!$A$5:$A$12,0)),INDEX(등급!$G$5:$G$12,MATCH($D101,등급!$A$5:$A$12,0))&amp;"칸",INDEX(등급!$G$5:$G$12,MATCH($D101,등급!$A$5:$A$12,0))&amp;"~"&amp;INDEX(등급!$H$5:$H$12,MATCH($D101,등급!$A$5:$A$12,0))&amp;"칸"))</f>
        <v>-</v>
      </c>
      <c r="M101" s="19" t="str">
        <f aca="false">IF(INDEX(등급!$J$5:$J$12,MATCH($D101,등급!$A$5:$A$12,0))=0,"-",IF(INDEX(등급!$I$5:$I$12,MATCH($D101,등급!$A$5:$A$12,0))=INDEX(등급!$J$5:$J$12,MATCH($D101,등급!$A$5:$A$12,0)),INDEX(등급!$I$5:$I$12,MATCH($D101,등급!$A$5:$A$12,0))&amp;"개",INDEX(등급!$I$5:$I$12,MATCH($D101,등급!$A$5:$A$12,0))&amp;"~"&amp;INDEX(등급!$J$5:$J$12,MATCH($D101,등급!$A$5:$A$12,0))&amp;"개"))</f>
        <v>-</v>
      </c>
      <c r="N101" s="19" t="str">
        <f aca="false">IF(INDEX(등급!$L$5:$L$12,MATCH($D101,등급!$A$5:$A$12,0))=0,"-",INDEX(등급!$K$5:$K$12,MATCH($D101,등급!$A$5:$A$12,0))&amp;"~"&amp;INDEX(등급!$L$5:$L$12,MATCH($D101,등급!$A$5:$A$12,0))&amp;"개")</f>
        <v>-</v>
      </c>
    </row>
    <row r="102" customFormat="false" ht="15" hidden="false" customHeight="false" outlineLevel="0" collapsed="false">
      <c r="A102" s="19" t="str">
        <f aca="false">장비_기본!B17</f>
        <v>검무사의 경갑</v>
      </c>
      <c r="B102" s="19" t="str">
        <f aca="false">장비_기본!C17</f>
        <v>갑옷</v>
      </c>
      <c r="C102" s="19" t="str">
        <f aca="false">장비_기본!D17</f>
        <v>근딜</v>
      </c>
      <c r="D102" s="8" t="s">
        <v>44</v>
      </c>
      <c r="E102" s="19" t="str">
        <f aca="false">장비_기본!F17</f>
        <v>체력</v>
      </c>
      <c r="F102" s="20" t="n">
        <f aca="false">장비_기본!G17*INDEX(등급!$C$5:$C$12,MATCH($D102,등급!$A$5:$A$12,0))</f>
        <v>43.5</v>
      </c>
      <c r="G102" s="19" t="str">
        <f aca="false">장비_기본!H17</f>
        <v>공격 속도</v>
      </c>
      <c r="H102" s="21" t="n">
        <f aca="false">장비_기본!I17*INDEX(등급!$C$5:$C$12,MATCH($D102,등급!$A$5:$A$12,0))</f>
        <v>0.029</v>
      </c>
      <c r="I102" s="19" t="str">
        <f aca="false">장비_기본!J17</f>
        <v>② 회전 베기 쿨타임 -[값]%</v>
      </c>
      <c r="J102" s="20" t="n">
        <f aca="false">ROUND(장비_기본!K17*INDEX(등급!$F$5:$F$12,MATCH($D102,등급!$A$5:$A$12,0)),1)</f>
        <v>5.4</v>
      </c>
      <c r="K102" s="19" t="n">
        <f aca="false">INDEX(등급!$D$5:$D$12,MATCH($D102,등급!$A$5:$A$12,0))</f>
        <v>0</v>
      </c>
      <c r="L102" s="19" t="str">
        <f aca="false">IF(INDEX(등급!$H$5:$H$12,MATCH($D102,등급!$A$5:$A$12,0))=0,"-",IF(INDEX(등급!$G$5:$G$12,MATCH($D102,등급!$A$5:$A$12,0))=INDEX(등급!$H$5:$H$12,MATCH($D102,등급!$A$5:$A$12,0)),INDEX(등급!$G$5:$G$12,MATCH($D102,등급!$A$5:$A$12,0))&amp;"칸",INDEX(등급!$G$5:$G$12,MATCH($D102,등급!$A$5:$A$12,0))&amp;"~"&amp;INDEX(등급!$H$5:$H$12,MATCH($D102,등급!$A$5:$A$12,0))&amp;"칸"))</f>
        <v>-</v>
      </c>
      <c r="M102" s="19" t="str">
        <f aca="false">IF(INDEX(등급!$J$5:$J$12,MATCH($D102,등급!$A$5:$A$12,0))=0,"-",IF(INDEX(등급!$I$5:$I$12,MATCH($D102,등급!$A$5:$A$12,0))=INDEX(등급!$J$5:$J$12,MATCH($D102,등급!$A$5:$A$12,0)),INDEX(등급!$I$5:$I$12,MATCH($D102,등급!$A$5:$A$12,0))&amp;"개",INDEX(등급!$I$5:$I$12,MATCH($D102,등급!$A$5:$A$12,0))&amp;"~"&amp;INDEX(등급!$J$5:$J$12,MATCH($D102,등급!$A$5:$A$12,0))&amp;"개"))</f>
        <v>-</v>
      </c>
      <c r="N102" s="19" t="str">
        <f aca="false">IF(INDEX(등급!$L$5:$L$12,MATCH($D102,등급!$A$5:$A$12,0))=0,"-",INDEX(등급!$K$5:$K$12,MATCH($D102,등급!$A$5:$A$12,0))&amp;"~"&amp;INDEX(등급!$L$5:$L$12,MATCH($D102,등급!$A$5:$A$12,0))&amp;"개")</f>
        <v>-</v>
      </c>
    </row>
    <row r="103" customFormat="false" ht="15" hidden="false" customHeight="false" outlineLevel="0" collapsed="false">
      <c r="A103" s="19" t="str">
        <f aca="false">장비_기본!B17</f>
        <v>검무사의 경갑</v>
      </c>
      <c r="B103" s="19" t="str">
        <f aca="false">장비_기본!C17</f>
        <v>갑옷</v>
      </c>
      <c r="C103" s="19" t="str">
        <f aca="false">장비_기본!D17</f>
        <v>근딜</v>
      </c>
      <c r="D103" s="8" t="s">
        <v>45</v>
      </c>
      <c r="E103" s="19" t="str">
        <f aca="false">장비_기본!F17</f>
        <v>체력</v>
      </c>
      <c r="F103" s="20" t="n">
        <f aca="false">장비_기본!G17*INDEX(등급!$C$5:$C$12,MATCH($D103,등급!$A$5:$A$12,0))</f>
        <v>51</v>
      </c>
      <c r="G103" s="19" t="str">
        <f aca="false">장비_기본!H17</f>
        <v>공격 속도</v>
      </c>
      <c r="H103" s="21" t="n">
        <f aca="false">장비_기본!I17*INDEX(등급!$C$5:$C$12,MATCH($D103,등급!$A$5:$A$12,0))</f>
        <v>0.034</v>
      </c>
      <c r="I103" s="19" t="str">
        <f aca="false">장비_기본!J17</f>
        <v>② 회전 베기 쿨타임 -[값]%</v>
      </c>
      <c r="J103" s="20" t="n">
        <f aca="false">ROUND(장비_기본!K17*INDEX(등급!$F$5:$F$12,MATCH($D103,등급!$A$5:$A$12,0)),1)</f>
        <v>6</v>
      </c>
      <c r="K103" s="19" t="n">
        <f aca="false">INDEX(등급!$D$5:$D$12,MATCH($D103,등급!$A$5:$A$12,0))</f>
        <v>1</v>
      </c>
      <c r="L103" s="19" t="str">
        <f aca="false">IF(INDEX(등급!$H$5:$H$12,MATCH($D103,등급!$A$5:$A$12,0))=0,"-",IF(INDEX(등급!$G$5:$G$12,MATCH($D103,등급!$A$5:$A$12,0))=INDEX(등급!$H$5:$H$12,MATCH($D103,등급!$A$5:$A$12,0)),INDEX(등급!$G$5:$G$12,MATCH($D103,등급!$A$5:$A$12,0))&amp;"칸",INDEX(등급!$G$5:$G$12,MATCH($D103,등급!$A$5:$A$12,0))&amp;"~"&amp;INDEX(등급!$H$5:$H$12,MATCH($D103,등급!$A$5:$A$12,0))&amp;"칸"))</f>
        <v>-</v>
      </c>
      <c r="M103" s="19" t="str">
        <f aca="false">IF(INDEX(등급!$J$5:$J$12,MATCH($D103,등급!$A$5:$A$12,0))=0,"-",IF(INDEX(등급!$I$5:$I$12,MATCH($D103,등급!$A$5:$A$12,0))=INDEX(등급!$J$5:$J$12,MATCH($D103,등급!$A$5:$A$12,0)),INDEX(등급!$I$5:$I$12,MATCH($D103,등급!$A$5:$A$12,0))&amp;"개",INDEX(등급!$I$5:$I$12,MATCH($D103,등급!$A$5:$A$12,0))&amp;"~"&amp;INDEX(등급!$J$5:$J$12,MATCH($D103,등급!$A$5:$A$12,0))&amp;"개"))</f>
        <v>-</v>
      </c>
      <c r="N103" s="19" t="str">
        <f aca="false">IF(INDEX(등급!$L$5:$L$12,MATCH($D103,등급!$A$5:$A$12,0))=0,"-",INDEX(등급!$K$5:$K$12,MATCH($D103,등급!$A$5:$A$12,0))&amp;"~"&amp;INDEX(등급!$L$5:$L$12,MATCH($D103,등급!$A$5:$A$12,0))&amp;"개")</f>
        <v>-</v>
      </c>
    </row>
    <row r="104" customFormat="false" ht="15" hidden="false" customHeight="false" outlineLevel="0" collapsed="false">
      <c r="A104" s="19" t="str">
        <f aca="false">장비_기본!B17</f>
        <v>검무사의 경갑</v>
      </c>
      <c r="B104" s="19" t="str">
        <f aca="false">장비_기본!C17</f>
        <v>갑옷</v>
      </c>
      <c r="C104" s="19" t="str">
        <f aca="false">장비_기본!D17</f>
        <v>근딜</v>
      </c>
      <c r="D104" s="8" t="s">
        <v>46</v>
      </c>
      <c r="E104" s="19" t="str">
        <f aca="false">장비_기본!F17</f>
        <v>체력</v>
      </c>
      <c r="F104" s="20" t="n">
        <f aca="false">장비_기본!G17*INDEX(등급!$C$5:$C$12,MATCH($D104,등급!$A$5:$A$12,0))</f>
        <v>63</v>
      </c>
      <c r="G104" s="19" t="str">
        <f aca="false">장비_기본!H17</f>
        <v>공격 속도</v>
      </c>
      <c r="H104" s="21" t="n">
        <f aca="false">장비_기본!I17*INDEX(등급!$C$5:$C$12,MATCH($D104,등급!$A$5:$A$12,0))</f>
        <v>0.042</v>
      </c>
      <c r="I104" s="19" t="str">
        <f aca="false">장비_기본!J17</f>
        <v>② 회전 베기 쿨타임 -[값]%</v>
      </c>
      <c r="J104" s="20" t="n">
        <f aca="false">ROUND(장비_기본!K17*INDEX(등급!$F$5:$F$12,MATCH($D104,등급!$A$5:$A$12,0)),1)</f>
        <v>7</v>
      </c>
      <c r="K104" s="19" t="n">
        <f aca="false">INDEX(등급!$D$5:$D$12,MATCH($D104,등급!$A$5:$A$12,0))</f>
        <v>2</v>
      </c>
      <c r="L104" s="19" t="str">
        <f aca="false">IF(INDEX(등급!$H$5:$H$12,MATCH($D104,등급!$A$5:$A$12,0))=0,"-",IF(INDEX(등급!$G$5:$G$12,MATCH($D104,등급!$A$5:$A$12,0))=INDEX(등급!$H$5:$H$12,MATCH($D104,등급!$A$5:$A$12,0)),INDEX(등급!$G$5:$G$12,MATCH($D104,등급!$A$5:$A$12,0))&amp;"칸",INDEX(등급!$G$5:$G$12,MATCH($D104,등급!$A$5:$A$12,0))&amp;"~"&amp;INDEX(등급!$H$5:$H$12,MATCH($D104,등급!$A$5:$A$12,0))&amp;"칸"))</f>
        <v>-</v>
      </c>
      <c r="M104" s="19" t="str">
        <f aca="false">IF(INDEX(등급!$J$5:$J$12,MATCH($D104,등급!$A$5:$A$12,0))=0,"-",IF(INDEX(등급!$I$5:$I$12,MATCH($D104,등급!$A$5:$A$12,0))=INDEX(등급!$J$5:$J$12,MATCH($D104,등급!$A$5:$A$12,0)),INDEX(등급!$I$5:$I$12,MATCH($D104,등급!$A$5:$A$12,0))&amp;"개",INDEX(등급!$I$5:$I$12,MATCH($D104,등급!$A$5:$A$12,0))&amp;"~"&amp;INDEX(등급!$J$5:$J$12,MATCH($D104,등급!$A$5:$A$12,0))&amp;"개"))</f>
        <v>-</v>
      </c>
      <c r="N104" s="19" t="str">
        <f aca="false">IF(INDEX(등급!$L$5:$L$12,MATCH($D104,등급!$A$5:$A$12,0))=0,"-",INDEX(등급!$K$5:$K$12,MATCH($D104,등급!$A$5:$A$12,0))&amp;"~"&amp;INDEX(등급!$L$5:$L$12,MATCH($D104,등급!$A$5:$A$12,0))&amp;"개")</f>
        <v>-</v>
      </c>
    </row>
    <row r="105" customFormat="false" ht="15" hidden="false" customHeight="false" outlineLevel="0" collapsed="false">
      <c r="A105" s="19" t="str">
        <f aca="false">장비_기본!B17</f>
        <v>검무사의 경갑</v>
      </c>
      <c r="B105" s="19" t="str">
        <f aca="false">장비_기본!C17</f>
        <v>갑옷</v>
      </c>
      <c r="C105" s="19" t="str">
        <f aca="false">장비_기본!D17</f>
        <v>근딜</v>
      </c>
      <c r="D105" s="8" t="s">
        <v>47</v>
      </c>
      <c r="E105" s="19" t="str">
        <f aca="false">장비_기본!F17</f>
        <v>체력</v>
      </c>
      <c r="F105" s="20" t="n">
        <f aca="false">장비_기본!G17*INDEX(등급!$C$5:$C$12,MATCH($D105,등급!$A$5:$A$12,0))</f>
        <v>76.5</v>
      </c>
      <c r="G105" s="19" t="str">
        <f aca="false">장비_기본!H17</f>
        <v>공격 속도</v>
      </c>
      <c r="H105" s="21" t="n">
        <f aca="false">장비_기본!I17*INDEX(등급!$C$5:$C$12,MATCH($D105,등급!$A$5:$A$12,0))</f>
        <v>0.051</v>
      </c>
      <c r="I105" s="19" t="str">
        <f aca="false">장비_기본!J17</f>
        <v>② 회전 베기 쿨타임 -[값]%</v>
      </c>
      <c r="J105" s="20" t="n">
        <f aca="false">ROUND(장비_기본!K17*INDEX(등급!$F$5:$F$12,MATCH($D105,등급!$A$5:$A$12,0)),1)</f>
        <v>8</v>
      </c>
      <c r="K105" s="19" t="n">
        <f aca="false">INDEX(등급!$D$5:$D$12,MATCH($D105,등급!$A$5:$A$12,0))</f>
        <v>3</v>
      </c>
      <c r="L105" s="19" t="str">
        <f aca="false">IF(INDEX(등급!$H$5:$H$12,MATCH($D105,등급!$A$5:$A$12,0))=0,"-",IF(INDEX(등급!$G$5:$G$12,MATCH($D105,등급!$A$5:$A$12,0))=INDEX(등급!$H$5:$H$12,MATCH($D105,등급!$A$5:$A$12,0)),INDEX(등급!$G$5:$G$12,MATCH($D105,등급!$A$5:$A$12,0))&amp;"칸",INDEX(등급!$G$5:$G$12,MATCH($D105,등급!$A$5:$A$12,0))&amp;"~"&amp;INDEX(등급!$H$5:$H$12,MATCH($D105,등급!$A$5:$A$12,0))&amp;"칸"))</f>
        <v>-</v>
      </c>
      <c r="M105" s="19" t="str">
        <f aca="false">IF(INDEX(등급!$J$5:$J$12,MATCH($D105,등급!$A$5:$A$12,0))=0,"-",IF(INDEX(등급!$I$5:$I$12,MATCH($D105,등급!$A$5:$A$12,0))=INDEX(등급!$J$5:$J$12,MATCH($D105,등급!$A$5:$A$12,0)),INDEX(등급!$I$5:$I$12,MATCH($D105,등급!$A$5:$A$12,0))&amp;"개",INDEX(등급!$I$5:$I$12,MATCH($D105,등급!$A$5:$A$12,0))&amp;"~"&amp;INDEX(등급!$J$5:$J$12,MATCH($D105,등급!$A$5:$A$12,0))&amp;"개"))</f>
        <v>-</v>
      </c>
      <c r="N105" s="19" t="str">
        <f aca="false">IF(INDEX(등급!$L$5:$L$12,MATCH($D105,등급!$A$5:$A$12,0))=0,"-",INDEX(등급!$K$5:$K$12,MATCH($D105,등급!$A$5:$A$12,0))&amp;"~"&amp;INDEX(등급!$L$5:$L$12,MATCH($D105,등급!$A$5:$A$12,0))&amp;"개")</f>
        <v>-</v>
      </c>
    </row>
    <row r="106" customFormat="false" ht="15" hidden="false" customHeight="false" outlineLevel="0" collapsed="false">
      <c r="A106" s="19" t="str">
        <f aca="false">장비_기본!B17</f>
        <v>검무사의 경갑</v>
      </c>
      <c r="B106" s="19" t="str">
        <f aca="false">장비_기본!C17</f>
        <v>갑옷</v>
      </c>
      <c r="C106" s="19" t="str">
        <f aca="false">장비_기본!D17</f>
        <v>근딜</v>
      </c>
      <c r="D106" s="8" t="s">
        <v>48</v>
      </c>
      <c r="E106" s="19" t="str">
        <f aca="false">장비_기본!F17</f>
        <v>체력</v>
      </c>
      <c r="F106" s="20" t="n">
        <f aca="false">장비_기본!G17*INDEX(등급!$C$5:$C$12,MATCH($D106,등급!$A$5:$A$12,0))</f>
        <v>91.5</v>
      </c>
      <c r="G106" s="19" t="str">
        <f aca="false">장비_기본!H17</f>
        <v>공격 속도</v>
      </c>
      <c r="H106" s="21" t="n">
        <f aca="false">장비_기본!I17*INDEX(등급!$C$5:$C$12,MATCH($D106,등급!$A$5:$A$12,0))</f>
        <v>0.061</v>
      </c>
      <c r="I106" s="19" t="str">
        <f aca="false">장비_기본!J17</f>
        <v>② 회전 베기 쿨타임 -[값]%</v>
      </c>
      <c r="J106" s="20" t="n">
        <f aca="false">ROUND(장비_기본!K17*INDEX(등급!$F$5:$F$12,MATCH($D106,등급!$A$5:$A$12,0)),1)</f>
        <v>9.2</v>
      </c>
      <c r="K106" s="19" t="n">
        <f aca="false">INDEX(등급!$D$5:$D$12,MATCH($D106,등급!$A$5:$A$12,0))</f>
        <v>4</v>
      </c>
      <c r="L106" s="19" t="str">
        <f aca="false">IF(INDEX(등급!$H$5:$H$12,MATCH($D106,등급!$A$5:$A$12,0))=0,"-",IF(INDEX(등급!$G$5:$G$12,MATCH($D106,등급!$A$5:$A$12,0))=INDEX(등급!$H$5:$H$12,MATCH($D106,등급!$A$5:$A$12,0)),INDEX(등급!$G$5:$G$12,MATCH($D106,등급!$A$5:$A$12,0))&amp;"칸",INDEX(등급!$G$5:$G$12,MATCH($D106,등급!$A$5:$A$12,0))&amp;"~"&amp;INDEX(등급!$H$5:$H$12,MATCH($D106,등급!$A$5:$A$12,0))&amp;"칸"))</f>
        <v>-</v>
      </c>
      <c r="M106" s="19" t="str">
        <f aca="false">IF(INDEX(등급!$J$5:$J$12,MATCH($D106,등급!$A$5:$A$12,0))=0,"-",IF(INDEX(등급!$I$5:$I$12,MATCH($D106,등급!$A$5:$A$12,0))=INDEX(등급!$J$5:$J$12,MATCH($D106,등급!$A$5:$A$12,0)),INDEX(등급!$I$5:$I$12,MATCH($D106,등급!$A$5:$A$12,0))&amp;"개",INDEX(등급!$I$5:$I$12,MATCH($D106,등급!$A$5:$A$12,0))&amp;"~"&amp;INDEX(등급!$J$5:$J$12,MATCH($D106,등급!$A$5:$A$12,0))&amp;"개"))</f>
        <v>-</v>
      </c>
      <c r="N106" s="19" t="str">
        <f aca="false">IF(INDEX(등급!$L$5:$L$12,MATCH($D106,등급!$A$5:$A$12,0))=0,"-",INDEX(등급!$K$5:$K$12,MATCH($D106,등급!$A$5:$A$12,0))&amp;"~"&amp;INDEX(등급!$L$5:$L$12,MATCH($D106,등급!$A$5:$A$12,0))&amp;"개")</f>
        <v>-</v>
      </c>
    </row>
    <row r="107" customFormat="false" ht="15" hidden="false" customHeight="false" outlineLevel="0" collapsed="false">
      <c r="A107" s="19" t="str">
        <f aca="false">장비_기본!B17</f>
        <v>검무사의 경갑</v>
      </c>
      <c r="B107" s="19" t="str">
        <f aca="false">장비_기본!C17</f>
        <v>갑옷</v>
      </c>
      <c r="C107" s="19" t="str">
        <f aca="false">장비_기본!D17</f>
        <v>근딜</v>
      </c>
      <c r="D107" s="8" t="s">
        <v>49</v>
      </c>
      <c r="E107" s="19" t="str">
        <f aca="false">장비_기본!F17</f>
        <v>체력</v>
      </c>
      <c r="F107" s="20" t="n">
        <f aca="false">장비_기본!G17*INDEX(등급!$C$5:$C$12,MATCH($D107,등급!$A$5:$A$12,0))</f>
        <v>96</v>
      </c>
      <c r="G107" s="19" t="str">
        <f aca="false">장비_기본!H17</f>
        <v>공격 속도</v>
      </c>
      <c r="H107" s="21" t="n">
        <f aca="false">장비_기본!I17*INDEX(등급!$C$5:$C$12,MATCH($D107,등급!$A$5:$A$12,0))</f>
        <v>0.064</v>
      </c>
      <c r="I107" s="19" t="str">
        <f aca="false">장비_기본!J17</f>
        <v>② 회전 베기 쿨타임 -[값]%</v>
      </c>
      <c r="J107" s="20" t="n">
        <f aca="false">ROUND(장비_기본!K17*INDEX(등급!$F$5:$F$12,MATCH($D107,등급!$A$5:$A$12,0)),1)</f>
        <v>10.6</v>
      </c>
      <c r="K107" s="19" t="n">
        <f aca="false">INDEX(등급!$D$5:$D$12,MATCH($D107,등급!$A$5:$A$12,0))</f>
        <v>4</v>
      </c>
      <c r="L107" s="19" t="str">
        <f aca="false">IF(INDEX(등급!$H$5:$H$12,MATCH($D107,등급!$A$5:$A$12,0))=0,"-",IF(INDEX(등급!$G$5:$G$12,MATCH($D107,등급!$A$5:$A$12,0))=INDEX(등급!$H$5:$H$12,MATCH($D107,등급!$A$5:$A$12,0)),INDEX(등급!$G$5:$G$12,MATCH($D107,등급!$A$5:$A$12,0))&amp;"칸",INDEX(등급!$G$5:$G$12,MATCH($D107,등급!$A$5:$A$12,0))&amp;"~"&amp;INDEX(등급!$H$5:$H$12,MATCH($D107,등급!$A$5:$A$12,0))&amp;"칸"))</f>
        <v>1칸</v>
      </c>
      <c r="M107" s="19" t="str">
        <f aca="false">IF(INDEX(등급!$J$5:$J$12,MATCH($D107,등급!$A$5:$A$12,0))=0,"-",IF(INDEX(등급!$I$5:$I$12,MATCH($D107,등급!$A$5:$A$12,0))=INDEX(등급!$J$5:$J$12,MATCH($D107,등급!$A$5:$A$12,0)),INDEX(등급!$I$5:$I$12,MATCH($D107,등급!$A$5:$A$12,0))&amp;"개",INDEX(등급!$I$5:$I$12,MATCH($D107,등급!$A$5:$A$12,0))&amp;"~"&amp;INDEX(등급!$J$5:$J$12,MATCH($D107,등급!$A$5:$A$12,0))&amp;"개"))</f>
        <v>0~1개</v>
      </c>
      <c r="N107" s="19" t="str">
        <f aca="false">IF(INDEX(등급!$L$5:$L$12,MATCH($D107,등급!$A$5:$A$12,0))=0,"-",INDEX(등급!$K$5:$K$12,MATCH($D107,등급!$A$5:$A$12,0))&amp;"~"&amp;INDEX(등급!$L$5:$L$12,MATCH($D107,등급!$A$5:$A$12,0))&amp;"개")</f>
        <v>0~1개</v>
      </c>
    </row>
    <row r="108" customFormat="false" ht="15" hidden="false" customHeight="false" outlineLevel="0" collapsed="false">
      <c r="A108" s="19" t="str">
        <f aca="false">장비_기본!B17</f>
        <v>검무사의 경갑</v>
      </c>
      <c r="B108" s="19" t="str">
        <f aca="false">장비_기본!C17</f>
        <v>갑옷</v>
      </c>
      <c r="C108" s="19" t="str">
        <f aca="false">장비_기본!D17</f>
        <v>근딜</v>
      </c>
      <c r="D108" s="8" t="s">
        <v>51</v>
      </c>
      <c r="E108" s="19" t="str">
        <f aca="false">장비_기본!F17</f>
        <v>체력</v>
      </c>
      <c r="F108" s="20" t="n">
        <f aca="false">장비_기본!G17*INDEX(등급!$C$5:$C$12,MATCH($D108,등급!$A$5:$A$12,0))</f>
        <v>99</v>
      </c>
      <c r="G108" s="19" t="str">
        <f aca="false">장비_기본!H17</f>
        <v>공격 속도</v>
      </c>
      <c r="H108" s="21" t="n">
        <f aca="false">장비_기본!I17*INDEX(등급!$C$5:$C$12,MATCH($D108,등급!$A$5:$A$12,0))</f>
        <v>0.066</v>
      </c>
      <c r="I108" s="19" t="str">
        <f aca="false">장비_기본!J17</f>
        <v>② 회전 베기 쿨타임 -[값]%</v>
      </c>
      <c r="J108" s="20" t="n">
        <f aca="false">ROUND(장비_기본!K17*INDEX(등급!$F$5:$F$12,MATCH($D108,등급!$A$5:$A$12,0)),1)</f>
        <v>12</v>
      </c>
      <c r="K108" s="19" t="n">
        <f aca="false">INDEX(등급!$D$5:$D$12,MATCH($D108,등급!$A$5:$A$12,0))</f>
        <v>4</v>
      </c>
      <c r="L108" s="19" t="str">
        <f aca="false">IF(INDEX(등급!$H$5:$H$12,MATCH($D108,등급!$A$5:$A$12,0))=0,"-",IF(INDEX(등급!$G$5:$G$12,MATCH($D108,등급!$A$5:$A$12,0))=INDEX(등급!$H$5:$H$12,MATCH($D108,등급!$A$5:$A$12,0)),INDEX(등급!$G$5:$G$12,MATCH($D108,등급!$A$5:$A$12,0))&amp;"칸",INDEX(등급!$G$5:$G$12,MATCH($D108,등급!$A$5:$A$12,0))&amp;"~"&amp;INDEX(등급!$H$5:$H$12,MATCH($D108,등급!$A$5:$A$12,0))&amp;"칸"))</f>
        <v>1~3칸</v>
      </c>
      <c r="M108" s="19" t="str">
        <f aca="false">IF(INDEX(등급!$J$5:$J$12,MATCH($D108,등급!$A$5:$A$12,0))=0,"-",IF(INDEX(등급!$I$5:$I$12,MATCH($D108,등급!$A$5:$A$12,0))=INDEX(등급!$J$5:$J$12,MATCH($D108,등급!$A$5:$A$12,0)),INDEX(등급!$I$5:$I$12,MATCH($D108,등급!$A$5:$A$12,0))&amp;"개",INDEX(등급!$I$5:$I$12,MATCH($D108,등급!$A$5:$A$12,0))&amp;"~"&amp;INDEX(등급!$J$5:$J$12,MATCH($D108,등급!$A$5:$A$12,0))&amp;"개"))</f>
        <v>1개</v>
      </c>
      <c r="N108" s="19" t="str">
        <f aca="false">IF(INDEX(등급!$L$5:$L$12,MATCH($D108,등급!$A$5:$A$12,0))=0,"-",INDEX(등급!$K$5:$K$12,MATCH($D108,등급!$A$5:$A$12,0))&amp;"~"&amp;INDEX(등급!$L$5:$L$12,MATCH($D108,등급!$A$5:$A$12,0))&amp;"개")</f>
        <v>0~2개</v>
      </c>
    </row>
    <row r="109" customFormat="false" ht="15" hidden="false" customHeight="false" outlineLevel="0" collapsed="false">
      <c r="A109" s="19" t="str">
        <f aca="false">장비_기본!B18</f>
        <v>핏빛 망토</v>
      </c>
      <c r="B109" s="19" t="str">
        <f aca="false">장비_기본!C18</f>
        <v>갑옷</v>
      </c>
      <c r="C109" s="19" t="str">
        <f aca="false">장비_기본!D18</f>
        <v>근딜</v>
      </c>
      <c r="D109" s="8" t="s">
        <v>43</v>
      </c>
      <c r="E109" s="19" t="str">
        <f aca="false">장비_기본!F18</f>
        <v>체력</v>
      </c>
      <c r="F109" s="20" t="n">
        <f aca="false">장비_기본!G18*INDEX(등급!$C$5:$C$12,MATCH($D109,등급!$A$5:$A$12,0))</f>
        <v>30</v>
      </c>
      <c r="G109" s="19" t="str">
        <f aca="false">장비_기본!H18</f>
        <v>공격 속도</v>
      </c>
      <c r="H109" s="21" t="n">
        <f aca="false">장비_기본!I18*INDEX(등급!$C$5:$C$12,MATCH($D109,등급!$A$5:$A$12,0))</f>
        <v>0.02</v>
      </c>
      <c r="I109" s="19" t="str">
        <f aca="false">장비_기본!J18</f>
        <v>출혈 걸린 적에게 피해 +[값]%</v>
      </c>
      <c r="J109" s="20" t="n">
        <f aca="false">ROUND(장비_기본!K18*INDEX(등급!$F$5:$F$12,MATCH($D109,등급!$A$5:$A$12,0)),1)</f>
        <v>5</v>
      </c>
      <c r="K109" s="19" t="n">
        <f aca="false">INDEX(등급!$D$5:$D$12,MATCH($D109,등급!$A$5:$A$12,0))</f>
        <v>0</v>
      </c>
      <c r="L109" s="19" t="str">
        <f aca="false">IF(INDEX(등급!$H$5:$H$12,MATCH($D109,등급!$A$5:$A$12,0))=0,"-",IF(INDEX(등급!$G$5:$G$12,MATCH($D109,등급!$A$5:$A$12,0))=INDEX(등급!$H$5:$H$12,MATCH($D109,등급!$A$5:$A$12,0)),INDEX(등급!$G$5:$G$12,MATCH($D109,등급!$A$5:$A$12,0))&amp;"칸",INDEX(등급!$G$5:$G$12,MATCH($D109,등급!$A$5:$A$12,0))&amp;"~"&amp;INDEX(등급!$H$5:$H$12,MATCH($D109,등급!$A$5:$A$12,0))&amp;"칸"))</f>
        <v>-</v>
      </c>
      <c r="M109" s="19" t="str">
        <f aca="false">IF(INDEX(등급!$J$5:$J$12,MATCH($D109,등급!$A$5:$A$12,0))=0,"-",IF(INDEX(등급!$I$5:$I$12,MATCH($D109,등급!$A$5:$A$12,0))=INDEX(등급!$J$5:$J$12,MATCH($D109,등급!$A$5:$A$12,0)),INDEX(등급!$I$5:$I$12,MATCH($D109,등급!$A$5:$A$12,0))&amp;"개",INDEX(등급!$I$5:$I$12,MATCH($D109,등급!$A$5:$A$12,0))&amp;"~"&amp;INDEX(등급!$J$5:$J$12,MATCH($D109,등급!$A$5:$A$12,0))&amp;"개"))</f>
        <v>-</v>
      </c>
      <c r="N109" s="19" t="str">
        <f aca="false">IF(INDEX(등급!$L$5:$L$12,MATCH($D109,등급!$A$5:$A$12,0))=0,"-",INDEX(등급!$K$5:$K$12,MATCH($D109,등급!$A$5:$A$12,0))&amp;"~"&amp;INDEX(등급!$L$5:$L$12,MATCH($D109,등급!$A$5:$A$12,0))&amp;"개")</f>
        <v>-</v>
      </c>
    </row>
    <row r="110" customFormat="false" ht="15" hidden="false" customHeight="false" outlineLevel="0" collapsed="false">
      <c r="A110" s="19" t="str">
        <f aca="false">장비_기본!B18</f>
        <v>핏빛 망토</v>
      </c>
      <c r="B110" s="19" t="str">
        <f aca="false">장비_기본!C18</f>
        <v>갑옷</v>
      </c>
      <c r="C110" s="19" t="str">
        <f aca="false">장비_기본!D18</f>
        <v>근딜</v>
      </c>
      <c r="D110" s="8" t="s">
        <v>44</v>
      </c>
      <c r="E110" s="19" t="str">
        <f aca="false">장비_기본!F18</f>
        <v>체력</v>
      </c>
      <c r="F110" s="20" t="n">
        <f aca="false">장비_기본!G18*INDEX(등급!$C$5:$C$12,MATCH($D110,등급!$A$5:$A$12,0))</f>
        <v>43.5</v>
      </c>
      <c r="G110" s="19" t="str">
        <f aca="false">장비_기본!H18</f>
        <v>공격 속도</v>
      </c>
      <c r="H110" s="21" t="n">
        <f aca="false">장비_기본!I18*INDEX(등급!$C$5:$C$12,MATCH($D110,등급!$A$5:$A$12,0))</f>
        <v>0.029</v>
      </c>
      <c r="I110" s="19" t="str">
        <f aca="false">장비_기본!J18</f>
        <v>출혈 걸린 적에게 피해 +[값]%</v>
      </c>
      <c r="J110" s="20" t="n">
        <f aca="false">ROUND(장비_기본!K18*INDEX(등급!$F$5:$F$12,MATCH($D110,등급!$A$5:$A$12,0)),1)</f>
        <v>6.8</v>
      </c>
      <c r="K110" s="19" t="n">
        <f aca="false">INDEX(등급!$D$5:$D$12,MATCH($D110,등급!$A$5:$A$12,0))</f>
        <v>0</v>
      </c>
      <c r="L110" s="19" t="str">
        <f aca="false">IF(INDEX(등급!$H$5:$H$12,MATCH($D110,등급!$A$5:$A$12,0))=0,"-",IF(INDEX(등급!$G$5:$G$12,MATCH($D110,등급!$A$5:$A$12,0))=INDEX(등급!$H$5:$H$12,MATCH($D110,등급!$A$5:$A$12,0)),INDEX(등급!$G$5:$G$12,MATCH($D110,등급!$A$5:$A$12,0))&amp;"칸",INDEX(등급!$G$5:$G$12,MATCH($D110,등급!$A$5:$A$12,0))&amp;"~"&amp;INDEX(등급!$H$5:$H$12,MATCH($D110,등급!$A$5:$A$12,0))&amp;"칸"))</f>
        <v>-</v>
      </c>
      <c r="M110" s="19" t="str">
        <f aca="false">IF(INDEX(등급!$J$5:$J$12,MATCH($D110,등급!$A$5:$A$12,0))=0,"-",IF(INDEX(등급!$I$5:$I$12,MATCH($D110,등급!$A$5:$A$12,0))=INDEX(등급!$J$5:$J$12,MATCH($D110,등급!$A$5:$A$12,0)),INDEX(등급!$I$5:$I$12,MATCH($D110,등급!$A$5:$A$12,0))&amp;"개",INDEX(등급!$I$5:$I$12,MATCH($D110,등급!$A$5:$A$12,0))&amp;"~"&amp;INDEX(등급!$J$5:$J$12,MATCH($D110,등급!$A$5:$A$12,0))&amp;"개"))</f>
        <v>-</v>
      </c>
      <c r="N110" s="19" t="str">
        <f aca="false">IF(INDEX(등급!$L$5:$L$12,MATCH($D110,등급!$A$5:$A$12,0))=0,"-",INDEX(등급!$K$5:$K$12,MATCH($D110,등급!$A$5:$A$12,0))&amp;"~"&amp;INDEX(등급!$L$5:$L$12,MATCH($D110,등급!$A$5:$A$12,0))&amp;"개")</f>
        <v>-</v>
      </c>
    </row>
    <row r="111" customFormat="false" ht="15" hidden="false" customHeight="false" outlineLevel="0" collapsed="false">
      <c r="A111" s="19" t="str">
        <f aca="false">장비_기본!B18</f>
        <v>핏빛 망토</v>
      </c>
      <c r="B111" s="19" t="str">
        <f aca="false">장비_기본!C18</f>
        <v>갑옷</v>
      </c>
      <c r="C111" s="19" t="str">
        <f aca="false">장비_기본!D18</f>
        <v>근딜</v>
      </c>
      <c r="D111" s="8" t="s">
        <v>45</v>
      </c>
      <c r="E111" s="19" t="str">
        <f aca="false">장비_기본!F18</f>
        <v>체력</v>
      </c>
      <c r="F111" s="20" t="n">
        <f aca="false">장비_기본!G18*INDEX(등급!$C$5:$C$12,MATCH($D111,등급!$A$5:$A$12,0))</f>
        <v>51</v>
      </c>
      <c r="G111" s="19" t="str">
        <f aca="false">장비_기본!H18</f>
        <v>공격 속도</v>
      </c>
      <c r="H111" s="21" t="n">
        <f aca="false">장비_기본!I18*INDEX(등급!$C$5:$C$12,MATCH($D111,등급!$A$5:$A$12,0))</f>
        <v>0.034</v>
      </c>
      <c r="I111" s="19" t="str">
        <f aca="false">장비_기본!J18</f>
        <v>출혈 걸린 적에게 피해 +[값]%</v>
      </c>
      <c r="J111" s="20" t="n">
        <f aca="false">ROUND(장비_기본!K18*INDEX(등급!$F$5:$F$12,MATCH($D111,등급!$A$5:$A$12,0)),1)</f>
        <v>7.5</v>
      </c>
      <c r="K111" s="19" t="n">
        <f aca="false">INDEX(등급!$D$5:$D$12,MATCH($D111,등급!$A$5:$A$12,0))</f>
        <v>1</v>
      </c>
      <c r="L111" s="19" t="str">
        <f aca="false">IF(INDEX(등급!$H$5:$H$12,MATCH($D111,등급!$A$5:$A$12,0))=0,"-",IF(INDEX(등급!$G$5:$G$12,MATCH($D111,등급!$A$5:$A$12,0))=INDEX(등급!$H$5:$H$12,MATCH($D111,등급!$A$5:$A$12,0)),INDEX(등급!$G$5:$G$12,MATCH($D111,등급!$A$5:$A$12,0))&amp;"칸",INDEX(등급!$G$5:$G$12,MATCH($D111,등급!$A$5:$A$12,0))&amp;"~"&amp;INDEX(등급!$H$5:$H$12,MATCH($D111,등급!$A$5:$A$12,0))&amp;"칸"))</f>
        <v>-</v>
      </c>
      <c r="M111" s="19" t="str">
        <f aca="false">IF(INDEX(등급!$J$5:$J$12,MATCH($D111,등급!$A$5:$A$12,0))=0,"-",IF(INDEX(등급!$I$5:$I$12,MATCH($D111,등급!$A$5:$A$12,0))=INDEX(등급!$J$5:$J$12,MATCH($D111,등급!$A$5:$A$12,0)),INDEX(등급!$I$5:$I$12,MATCH($D111,등급!$A$5:$A$12,0))&amp;"개",INDEX(등급!$I$5:$I$12,MATCH($D111,등급!$A$5:$A$12,0))&amp;"~"&amp;INDEX(등급!$J$5:$J$12,MATCH($D111,등급!$A$5:$A$12,0))&amp;"개"))</f>
        <v>-</v>
      </c>
      <c r="N111" s="19" t="str">
        <f aca="false">IF(INDEX(등급!$L$5:$L$12,MATCH($D111,등급!$A$5:$A$12,0))=0,"-",INDEX(등급!$K$5:$K$12,MATCH($D111,등급!$A$5:$A$12,0))&amp;"~"&amp;INDEX(등급!$L$5:$L$12,MATCH($D111,등급!$A$5:$A$12,0))&amp;"개")</f>
        <v>-</v>
      </c>
    </row>
    <row r="112" customFormat="false" ht="15" hidden="false" customHeight="false" outlineLevel="0" collapsed="false">
      <c r="A112" s="19" t="str">
        <f aca="false">장비_기본!B18</f>
        <v>핏빛 망토</v>
      </c>
      <c r="B112" s="19" t="str">
        <f aca="false">장비_기본!C18</f>
        <v>갑옷</v>
      </c>
      <c r="C112" s="19" t="str">
        <f aca="false">장비_기본!D18</f>
        <v>근딜</v>
      </c>
      <c r="D112" s="8" t="s">
        <v>46</v>
      </c>
      <c r="E112" s="19" t="str">
        <f aca="false">장비_기본!F18</f>
        <v>체력</v>
      </c>
      <c r="F112" s="20" t="n">
        <f aca="false">장비_기본!G18*INDEX(등급!$C$5:$C$12,MATCH($D112,등급!$A$5:$A$12,0))</f>
        <v>63</v>
      </c>
      <c r="G112" s="19" t="str">
        <f aca="false">장비_기본!H18</f>
        <v>공격 속도</v>
      </c>
      <c r="H112" s="21" t="n">
        <f aca="false">장비_기본!I18*INDEX(등급!$C$5:$C$12,MATCH($D112,등급!$A$5:$A$12,0))</f>
        <v>0.042</v>
      </c>
      <c r="I112" s="19" t="str">
        <f aca="false">장비_기본!J18</f>
        <v>출혈 걸린 적에게 피해 +[값]%</v>
      </c>
      <c r="J112" s="20" t="n">
        <f aca="false">ROUND(장비_기본!K18*INDEX(등급!$F$5:$F$12,MATCH($D112,등급!$A$5:$A$12,0)),1)</f>
        <v>8.8</v>
      </c>
      <c r="K112" s="19" t="n">
        <f aca="false">INDEX(등급!$D$5:$D$12,MATCH($D112,등급!$A$5:$A$12,0))</f>
        <v>2</v>
      </c>
      <c r="L112" s="19" t="str">
        <f aca="false">IF(INDEX(등급!$H$5:$H$12,MATCH($D112,등급!$A$5:$A$12,0))=0,"-",IF(INDEX(등급!$G$5:$G$12,MATCH($D112,등급!$A$5:$A$12,0))=INDEX(등급!$H$5:$H$12,MATCH($D112,등급!$A$5:$A$12,0)),INDEX(등급!$G$5:$G$12,MATCH($D112,등급!$A$5:$A$12,0))&amp;"칸",INDEX(등급!$G$5:$G$12,MATCH($D112,등급!$A$5:$A$12,0))&amp;"~"&amp;INDEX(등급!$H$5:$H$12,MATCH($D112,등급!$A$5:$A$12,0))&amp;"칸"))</f>
        <v>-</v>
      </c>
      <c r="M112" s="19" t="str">
        <f aca="false">IF(INDEX(등급!$J$5:$J$12,MATCH($D112,등급!$A$5:$A$12,0))=0,"-",IF(INDEX(등급!$I$5:$I$12,MATCH($D112,등급!$A$5:$A$12,0))=INDEX(등급!$J$5:$J$12,MATCH($D112,등급!$A$5:$A$12,0)),INDEX(등급!$I$5:$I$12,MATCH($D112,등급!$A$5:$A$12,0))&amp;"개",INDEX(등급!$I$5:$I$12,MATCH($D112,등급!$A$5:$A$12,0))&amp;"~"&amp;INDEX(등급!$J$5:$J$12,MATCH($D112,등급!$A$5:$A$12,0))&amp;"개"))</f>
        <v>-</v>
      </c>
      <c r="N112" s="19" t="str">
        <f aca="false">IF(INDEX(등급!$L$5:$L$12,MATCH($D112,등급!$A$5:$A$12,0))=0,"-",INDEX(등급!$K$5:$K$12,MATCH($D112,등급!$A$5:$A$12,0))&amp;"~"&amp;INDEX(등급!$L$5:$L$12,MATCH($D112,등급!$A$5:$A$12,0))&amp;"개")</f>
        <v>-</v>
      </c>
    </row>
    <row r="113" customFormat="false" ht="15" hidden="false" customHeight="false" outlineLevel="0" collapsed="false">
      <c r="A113" s="19" t="str">
        <f aca="false">장비_기본!B18</f>
        <v>핏빛 망토</v>
      </c>
      <c r="B113" s="19" t="str">
        <f aca="false">장비_기본!C18</f>
        <v>갑옷</v>
      </c>
      <c r="C113" s="19" t="str">
        <f aca="false">장비_기본!D18</f>
        <v>근딜</v>
      </c>
      <c r="D113" s="8" t="s">
        <v>47</v>
      </c>
      <c r="E113" s="19" t="str">
        <f aca="false">장비_기본!F18</f>
        <v>체력</v>
      </c>
      <c r="F113" s="20" t="n">
        <f aca="false">장비_기본!G18*INDEX(등급!$C$5:$C$12,MATCH($D113,등급!$A$5:$A$12,0))</f>
        <v>76.5</v>
      </c>
      <c r="G113" s="19" t="str">
        <f aca="false">장비_기본!H18</f>
        <v>공격 속도</v>
      </c>
      <c r="H113" s="21" t="n">
        <f aca="false">장비_기본!I18*INDEX(등급!$C$5:$C$12,MATCH($D113,등급!$A$5:$A$12,0))</f>
        <v>0.051</v>
      </c>
      <c r="I113" s="19" t="str">
        <f aca="false">장비_기본!J18</f>
        <v>출혈 걸린 적에게 피해 +[값]%</v>
      </c>
      <c r="J113" s="20" t="n">
        <f aca="false">ROUND(장비_기본!K18*INDEX(등급!$F$5:$F$12,MATCH($D113,등급!$A$5:$A$12,0)),1)</f>
        <v>10</v>
      </c>
      <c r="K113" s="19" t="n">
        <f aca="false">INDEX(등급!$D$5:$D$12,MATCH($D113,등급!$A$5:$A$12,0))</f>
        <v>3</v>
      </c>
      <c r="L113" s="19" t="str">
        <f aca="false">IF(INDEX(등급!$H$5:$H$12,MATCH($D113,등급!$A$5:$A$12,0))=0,"-",IF(INDEX(등급!$G$5:$G$12,MATCH($D113,등급!$A$5:$A$12,0))=INDEX(등급!$H$5:$H$12,MATCH($D113,등급!$A$5:$A$12,0)),INDEX(등급!$G$5:$G$12,MATCH($D113,등급!$A$5:$A$12,0))&amp;"칸",INDEX(등급!$G$5:$G$12,MATCH($D113,등급!$A$5:$A$12,0))&amp;"~"&amp;INDEX(등급!$H$5:$H$12,MATCH($D113,등급!$A$5:$A$12,0))&amp;"칸"))</f>
        <v>-</v>
      </c>
      <c r="M113" s="19" t="str">
        <f aca="false">IF(INDEX(등급!$J$5:$J$12,MATCH($D113,등급!$A$5:$A$12,0))=0,"-",IF(INDEX(등급!$I$5:$I$12,MATCH($D113,등급!$A$5:$A$12,0))=INDEX(등급!$J$5:$J$12,MATCH($D113,등급!$A$5:$A$12,0)),INDEX(등급!$I$5:$I$12,MATCH($D113,등급!$A$5:$A$12,0))&amp;"개",INDEX(등급!$I$5:$I$12,MATCH($D113,등급!$A$5:$A$12,0))&amp;"~"&amp;INDEX(등급!$J$5:$J$12,MATCH($D113,등급!$A$5:$A$12,0))&amp;"개"))</f>
        <v>-</v>
      </c>
      <c r="N113" s="19" t="str">
        <f aca="false">IF(INDEX(등급!$L$5:$L$12,MATCH($D113,등급!$A$5:$A$12,0))=0,"-",INDEX(등급!$K$5:$K$12,MATCH($D113,등급!$A$5:$A$12,0))&amp;"~"&amp;INDEX(등급!$L$5:$L$12,MATCH($D113,등급!$A$5:$A$12,0))&amp;"개")</f>
        <v>-</v>
      </c>
    </row>
    <row r="114" customFormat="false" ht="15" hidden="false" customHeight="false" outlineLevel="0" collapsed="false">
      <c r="A114" s="19" t="str">
        <f aca="false">장비_기본!B18</f>
        <v>핏빛 망토</v>
      </c>
      <c r="B114" s="19" t="str">
        <f aca="false">장비_기본!C18</f>
        <v>갑옷</v>
      </c>
      <c r="C114" s="19" t="str">
        <f aca="false">장비_기본!D18</f>
        <v>근딜</v>
      </c>
      <c r="D114" s="8" t="s">
        <v>48</v>
      </c>
      <c r="E114" s="19" t="str">
        <f aca="false">장비_기본!F18</f>
        <v>체력</v>
      </c>
      <c r="F114" s="20" t="n">
        <f aca="false">장비_기본!G18*INDEX(등급!$C$5:$C$12,MATCH($D114,등급!$A$5:$A$12,0))</f>
        <v>91.5</v>
      </c>
      <c r="G114" s="19" t="str">
        <f aca="false">장비_기본!H18</f>
        <v>공격 속도</v>
      </c>
      <c r="H114" s="21" t="n">
        <f aca="false">장비_기본!I18*INDEX(등급!$C$5:$C$12,MATCH($D114,등급!$A$5:$A$12,0))</f>
        <v>0.061</v>
      </c>
      <c r="I114" s="19" t="str">
        <f aca="false">장비_기본!J18</f>
        <v>출혈 걸린 적에게 피해 +[값]%</v>
      </c>
      <c r="J114" s="20" t="n">
        <f aca="false">ROUND(장비_기본!K18*INDEX(등급!$F$5:$F$12,MATCH($D114,등급!$A$5:$A$12,0)),1)</f>
        <v>11.5</v>
      </c>
      <c r="K114" s="19" t="n">
        <f aca="false">INDEX(등급!$D$5:$D$12,MATCH($D114,등급!$A$5:$A$12,0))</f>
        <v>4</v>
      </c>
      <c r="L114" s="19" t="str">
        <f aca="false">IF(INDEX(등급!$H$5:$H$12,MATCH($D114,등급!$A$5:$A$12,0))=0,"-",IF(INDEX(등급!$G$5:$G$12,MATCH($D114,등급!$A$5:$A$12,0))=INDEX(등급!$H$5:$H$12,MATCH($D114,등급!$A$5:$A$12,0)),INDEX(등급!$G$5:$G$12,MATCH($D114,등급!$A$5:$A$12,0))&amp;"칸",INDEX(등급!$G$5:$G$12,MATCH($D114,등급!$A$5:$A$12,0))&amp;"~"&amp;INDEX(등급!$H$5:$H$12,MATCH($D114,등급!$A$5:$A$12,0))&amp;"칸"))</f>
        <v>-</v>
      </c>
      <c r="M114" s="19" t="str">
        <f aca="false">IF(INDEX(등급!$J$5:$J$12,MATCH($D114,등급!$A$5:$A$12,0))=0,"-",IF(INDEX(등급!$I$5:$I$12,MATCH($D114,등급!$A$5:$A$12,0))=INDEX(등급!$J$5:$J$12,MATCH($D114,등급!$A$5:$A$12,0)),INDEX(등급!$I$5:$I$12,MATCH($D114,등급!$A$5:$A$12,0))&amp;"개",INDEX(등급!$I$5:$I$12,MATCH($D114,등급!$A$5:$A$12,0))&amp;"~"&amp;INDEX(등급!$J$5:$J$12,MATCH($D114,등급!$A$5:$A$12,0))&amp;"개"))</f>
        <v>-</v>
      </c>
      <c r="N114" s="19" t="str">
        <f aca="false">IF(INDEX(등급!$L$5:$L$12,MATCH($D114,등급!$A$5:$A$12,0))=0,"-",INDEX(등급!$K$5:$K$12,MATCH($D114,등급!$A$5:$A$12,0))&amp;"~"&amp;INDEX(등급!$L$5:$L$12,MATCH($D114,등급!$A$5:$A$12,0))&amp;"개")</f>
        <v>-</v>
      </c>
    </row>
    <row r="115" customFormat="false" ht="15" hidden="false" customHeight="false" outlineLevel="0" collapsed="false">
      <c r="A115" s="19" t="str">
        <f aca="false">장비_기본!B18</f>
        <v>핏빛 망토</v>
      </c>
      <c r="B115" s="19" t="str">
        <f aca="false">장비_기본!C18</f>
        <v>갑옷</v>
      </c>
      <c r="C115" s="19" t="str">
        <f aca="false">장비_기본!D18</f>
        <v>근딜</v>
      </c>
      <c r="D115" s="8" t="s">
        <v>49</v>
      </c>
      <c r="E115" s="19" t="str">
        <f aca="false">장비_기본!F18</f>
        <v>체력</v>
      </c>
      <c r="F115" s="20" t="n">
        <f aca="false">장비_기본!G18*INDEX(등급!$C$5:$C$12,MATCH($D115,등급!$A$5:$A$12,0))</f>
        <v>96</v>
      </c>
      <c r="G115" s="19" t="str">
        <f aca="false">장비_기본!H18</f>
        <v>공격 속도</v>
      </c>
      <c r="H115" s="21" t="n">
        <f aca="false">장비_기본!I18*INDEX(등급!$C$5:$C$12,MATCH($D115,등급!$A$5:$A$12,0))</f>
        <v>0.064</v>
      </c>
      <c r="I115" s="19" t="str">
        <f aca="false">장비_기본!J18</f>
        <v>출혈 걸린 적에게 피해 +[값]%</v>
      </c>
      <c r="J115" s="20" t="n">
        <f aca="false">ROUND(장비_기본!K18*INDEX(등급!$F$5:$F$12,MATCH($D115,등급!$A$5:$A$12,0)),1)</f>
        <v>13.3</v>
      </c>
      <c r="K115" s="19" t="n">
        <f aca="false">INDEX(등급!$D$5:$D$12,MATCH($D115,등급!$A$5:$A$12,0))</f>
        <v>4</v>
      </c>
      <c r="L115" s="19" t="str">
        <f aca="false">IF(INDEX(등급!$H$5:$H$12,MATCH($D115,등급!$A$5:$A$12,0))=0,"-",IF(INDEX(등급!$G$5:$G$12,MATCH($D115,등급!$A$5:$A$12,0))=INDEX(등급!$H$5:$H$12,MATCH($D115,등급!$A$5:$A$12,0)),INDEX(등급!$G$5:$G$12,MATCH($D115,등급!$A$5:$A$12,0))&amp;"칸",INDEX(등급!$G$5:$G$12,MATCH($D115,등급!$A$5:$A$12,0))&amp;"~"&amp;INDEX(등급!$H$5:$H$12,MATCH($D115,등급!$A$5:$A$12,0))&amp;"칸"))</f>
        <v>1칸</v>
      </c>
      <c r="M115" s="19" t="str">
        <f aca="false">IF(INDEX(등급!$J$5:$J$12,MATCH($D115,등급!$A$5:$A$12,0))=0,"-",IF(INDEX(등급!$I$5:$I$12,MATCH($D115,등급!$A$5:$A$12,0))=INDEX(등급!$J$5:$J$12,MATCH($D115,등급!$A$5:$A$12,0)),INDEX(등급!$I$5:$I$12,MATCH($D115,등급!$A$5:$A$12,0))&amp;"개",INDEX(등급!$I$5:$I$12,MATCH($D115,등급!$A$5:$A$12,0))&amp;"~"&amp;INDEX(등급!$J$5:$J$12,MATCH($D115,등급!$A$5:$A$12,0))&amp;"개"))</f>
        <v>0~1개</v>
      </c>
      <c r="N115" s="19" t="str">
        <f aca="false">IF(INDEX(등급!$L$5:$L$12,MATCH($D115,등급!$A$5:$A$12,0))=0,"-",INDEX(등급!$K$5:$K$12,MATCH($D115,등급!$A$5:$A$12,0))&amp;"~"&amp;INDEX(등급!$L$5:$L$12,MATCH($D115,등급!$A$5:$A$12,0))&amp;"개")</f>
        <v>0~1개</v>
      </c>
    </row>
    <row r="116" customFormat="false" ht="15" hidden="false" customHeight="false" outlineLevel="0" collapsed="false">
      <c r="A116" s="19" t="str">
        <f aca="false">장비_기본!B18</f>
        <v>핏빛 망토</v>
      </c>
      <c r="B116" s="19" t="str">
        <f aca="false">장비_기본!C18</f>
        <v>갑옷</v>
      </c>
      <c r="C116" s="19" t="str">
        <f aca="false">장비_기본!D18</f>
        <v>근딜</v>
      </c>
      <c r="D116" s="8" t="s">
        <v>51</v>
      </c>
      <c r="E116" s="19" t="str">
        <f aca="false">장비_기본!F18</f>
        <v>체력</v>
      </c>
      <c r="F116" s="20" t="n">
        <f aca="false">장비_기본!G18*INDEX(등급!$C$5:$C$12,MATCH($D116,등급!$A$5:$A$12,0))</f>
        <v>99</v>
      </c>
      <c r="G116" s="19" t="str">
        <f aca="false">장비_기본!H18</f>
        <v>공격 속도</v>
      </c>
      <c r="H116" s="21" t="n">
        <f aca="false">장비_기본!I18*INDEX(등급!$C$5:$C$12,MATCH($D116,등급!$A$5:$A$12,0))</f>
        <v>0.066</v>
      </c>
      <c r="I116" s="19" t="str">
        <f aca="false">장비_기본!J18</f>
        <v>출혈 걸린 적에게 피해 +[값]%</v>
      </c>
      <c r="J116" s="20" t="n">
        <f aca="false">ROUND(장비_기본!K18*INDEX(등급!$F$5:$F$12,MATCH($D116,등급!$A$5:$A$12,0)),1)</f>
        <v>15</v>
      </c>
      <c r="K116" s="19" t="n">
        <f aca="false">INDEX(등급!$D$5:$D$12,MATCH($D116,등급!$A$5:$A$12,0))</f>
        <v>4</v>
      </c>
      <c r="L116" s="19" t="str">
        <f aca="false">IF(INDEX(등급!$H$5:$H$12,MATCH($D116,등급!$A$5:$A$12,0))=0,"-",IF(INDEX(등급!$G$5:$G$12,MATCH($D116,등급!$A$5:$A$12,0))=INDEX(등급!$H$5:$H$12,MATCH($D116,등급!$A$5:$A$12,0)),INDEX(등급!$G$5:$G$12,MATCH($D116,등급!$A$5:$A$12,0))&amp;"칸",INDEX(등급!$G$5:$G$12,MATCH($D116,등급!$A$5:$A$12,0))&amp;"~"&amp;INDEX(등급!$H$5:$H$12,MATCH($D116,등급!$A$5:$A$12,0))&amp;"칸"))</f>
        <v>1~3칸</v>
      </c>
      <c r="M116" s="19" t="str">
        <f aca="false">IF(INDEX(등급!$J$5:$J$12,MATCH($D116,등급!$A$5:$A$12,0))=0,"-",IF(INDEX(등급!$I$5:$I$12,MATCH($D116,등급!$A$5:$A$12,0))=INDEX(등급!$J$5:$J$12,MATCH($D116,등급!$A$5:$A$12,0)),INDEX(등급!$I$5:$I$12,MATCH($D116,등급!$A$5:$A$12,0))&amp;"개",INDEX(등급!$I$5:$I$12,MATCH($D116,등급!$A$5:$A$12,0))&amp;"~"&amp;INDEX(등급!$J$5:$J$12,MATCH($D116,등급!$A$5:$A$12,0))&amp;"개"))</f>
        <v>1개</v>
      </c>
      <c r="N116" s="19" t="str">
        <f aca="false">IF(INDEX(등급!$L$5:$L$12,MATCH($D116,등급!$A$5:$A$12,0))=0,"-",INDEX(등급!$K$5:$K$12,MATCH($D116,등급!$A$5:$A$12,0))&amp;"~"&amp;INDEX(등급!$L$5:$L$12,MATCH($D116,등급!$A$5:$A$12,0))&amp;"개")</f>
        <v>0~2개</v>
      </c>
    </row>
    <row r="117" customFormat="false" ht="15" hidden="false" customHeight="false" outlineLevel="0" collapsed="false">
      <c r="A117" s="19" t="str">
        <f aca="false">장비_기본!B19</f>
        <v>검귀의 소울 메달</v>
      </c>
      <c r="B117" s="19" t="str">
        <f aca="false">장비_기본!C19</f>
        <v>소울 메달</v>
      </c>
      <c r="C117" s="19" t="str">
        <f aca="false">장비_기본!D19</f>
        <v>근딜</v>
      </c>
      <c r="D117" s="8" t="s">
        <v>43</v>
      </c>
      <c r="E117" s="19" t="str">
        <f aca="false">장비_기본!F19</f>
        <v>치명타 피해</v>
      </c>
      <c r="F117" s="21" t="n">
        <f aca="false">장비_기본!G19*INDEX(등급!$C$5:$C$12,MATCH($D117,등급!$A$5:$A$12,0))</f>
        <v>0.06</v>
      </c>
      <c r="G117" s="19" t="str">
        <f aca="false">장비_기본!H19</f>
        <v>① 스킬 위력</v>
      </c>
      <c r="H117" s="21" t="n">
        <f aca="false">장비_기본!I19*INDEX(등급!$C$5:$C$12,MATCH($D117,등급!$A$5:$A$12,0))</f>
        <v>0.1</v>
      </c>
      <c r="I117" s="13" t="s">
        <v>78</v>
      </c>
      <c r="J117" s="12"/>
      <c r="K117" s="19" t="n">
        <f aca="false">INDEX(등급!$D$5:$D$12,MATCH($D117,등급!$A$5:$A$12,0))</f>
        <v>0</v>
      </c>
      <c r="L117" s="19" t="str">
        <f aca="false">IF(INDEX(등급!$H$5:$H$12,MATCH($D117,등급!$A$5:$A$12,0))=0,"-",IF(INDEX(등급!$G$5:$G$12,MATCH($D117,등급!$A$5:$A$12,0))=INDEX(등급!$H$5:$H$12,MATCH($D117,등급!$A$5:$A$12,0)),INDEX(등급!$G$5:$G$12,MATCH($D117,등급!$A$5:$A$12,0))&amp;"칸",INDEX(등급!$G$5:$G$12,MATCH($D117,등급!$A$5:$A$12,0))&amp;"~"&amp;INDEX(등급!$H$5:$H$12,MATCH($D117,등급!$A$5:$A$12,0))&amp;"칸"))</f>
        <v>-</v>
      </c>
      <c r="M117" s="19" t="str">
        <f aca="false">IF(INDEX(등급!$J$5:$J$12,MATCH($D117,등급!$A$5:$A$12,0))=0,"-",IF(INDEX(등급!$I$5:$I$12,MATCH($D117,등급!$A$5:$A$12,0))=INDEX(등급!$J$5:$J$12,MATCH($D117,등급!$A$5:$A$12,0)),INDEX(등급!$I$5:$I$12,MATCH($D117,등급!$A$5:$A$12,0))&amp;"개",INDEX(등급!$I$5:$I$12,MATCH($D117,등급!$A$5:$A$12,0))&amp;"~"&amp;INDEX(등급!$J$5:$J$12,MATCH($D117,등급!$A$5:$A$12,0))&amp;"개"))</f>
        <v>-</v>
      </c>
      <c r="N117" s="19" t="str">
        <f aca="false">IF(INDEX(등급!$L$5:$L$12,MATCH($D117,등급!$A$5:$A$12,0))=0,"-",INDEX(등급!$K$5:$K$12,MATCH($D117,등급!$A$5:$A$12,0))&amp;"~"&amp;INDEX(등급!$L$5:$L$12,MATCH($D117,등급!$A$5:$A$12,0))&amp;"개")</f>
        <v>-</v>
      </c>
    </row>
    <row r="118" customFormat="false" ht="15" hidden="false" customHeight="false" outlineLevel="0" collapsed="false">
      <c r="A118" s="19" t="str">
        <f aca="false">장비_기본!B19</f>
        <v>검귀의 소울 메달</v>
      </c>
      <c r="B118" s="19" t="str">
        <f aca="false">장비_기본!C19</f>
        <v>소울 메달</v>
      </c>
      <c r="C118" s="19" t="str">
        <f aca="false">장비_기본!D19</f>
        <v>근딜</v>
      </c>
      <c r="D118" s="8" t="s">
        <v>44</v>
      </c>
      <c r="E118" s="19" t="str">
        <f aca="false">장비_기본!F19</f>
        <v>치명타 피해</v>
      </c>
      <c r="F118" s="21" t="n">
        <f aca="false">장비_기본!G19*INDEX(등급!$C$5:$C$12,MATCH($D118,등급!$A$5:$A$12,0))</f>
        <v>0.087</v>
      </c>
      <c r="G118" s="19" t="str">
        <f aca="false">장비_기본!H19</f>
        <v>① 스킬 위력</v>
      </c>
      <c r="H118" s="21" t="n">
        <f aca="false">장비_기본!I19*INDEX(등급!$C$5:$C$12,MATCH($D118,등급!$A$5:$A$12,0))</f>
        <v>0.145</v>
      </c>
      <c r="I118" s="13" t="s">
        <v>78</v>
      </c>
      <c r="J118" s="12"/>
      <c r="K118" s="19" t="n">
        <f aca="false">INDEX(등급!$D$5:$D$12,MATCH($D118,등급!$A$5:$A$12,0))</f>
        <v>0</v>
      </c>
      <c r="L118" s="19" t="str">
        <f aca="false">IF(INDEX(등급!$H$5:$H$12,MATCH($D118,등급!$A$5:$A$12,0))=0,"-",IF(INDEX(등급!$G$5:$G$12,MATCH($D118,등급!$A$5:$A$12,0))=INDEX(등급!$H$5:$H$12,MATCH($D118,등급!$A$5:$A$12,0)),INDEX(등급!$G$5:$G$12,MATCH($D118,등급!$A$5:$A$12,0))&amp;"칸",INDEX(등급!$G$5:$G$12,MATCH($D118,등급!$A$5:$A$12,0))&amp;"~"&amp;INDEX(등급!$H$5:$H$12,MATCH($D118,등급!$A$5:$A$12,0))&amp;"칸"))</f>
        <v>-</v>
      </c>
      <c r="M118" s="19" t="str">
        <f aca="false">IF(INDEX(등급!$J$5:$J$12,MATCH($D118,등급!$A$5:$A$12,0))=0,"-",IF(INDEX(등급!$I$5:$I$12,MATCH($D118,등급!$A$5:$A$12,0))=INDEX(등급!$J$5:$J$12,MATCH($D118,등급!$A$5:$A$12,0)),INDEX(등급!$I$5:$I$12,MATCH($D118,등급!$A$5:$A$12,0))&amp;"개",INDEX(등급!$I$5:$I$12,MATCH($D118,등급!$A$5:$A$12,0))&amp;"~"&amp;INDEX(등급!$J$5:$J$12,MATCH($D118,등급!$A$5:$A$12,0))&amp;"개"))</f>
        <v>-</v>
      </c>
      <c r="N118" s="19" t="str">
        <f aca="false">IF(INDEX(등급!$L$5:$L$12,MATCH($D118,등급!$A$5:$A$12,0))=0,"-",INDEX(등급!$K$5:$K$12,MATCH($D118,등급!$A$5:$A$12,0))&amp;"~"&amp;INDEX(등급!$L$5:$L$12,MATCH($D118,등급!$A$5:$A$12,0))&amp;"개")</f>
        <v>-</v>
      </c>
    </row>
    <row r="119" customFormat="false" ht="15" hidden="false" customHeight="false" outlineLevel="0" collapsed="false">
      <c r="A119" s="19" t="str">
        <f aca="false">장비_기본!B19</f>
        <v>검귀의 소울 메달</v>
      </c>
      <c r="B119" s="19" t="str">
        <f aca="false">장비_기본!C19</f>
        <v>소울 메달</v>
      </c>
      <c r="C119" s="19" t="str">
        <f aca="false">장비_기본!D19</f>
        <v>근딜</v>
      </c>
      <c r="D119" s="8" t="s">
        <v>45</v>
      </c>
      <c r="E119" s="19" t="str">
        <f aca="false">장비_기본!F19</f>
        <v>치명타 피해</v>
      </c>
      <c r="F119" s="21" t="n">
        <f aca="false">장비_기본!G19*INDEX(등급!$C$5:$C$12,MATCH($D119,등급!$A$5:$A$12,0))</f>
        <v>0.102</v>
      </c>
      <c r="G119" s="19" t="str">
        <f aca="false">장비_기본!H19</f>
        <v>① 스킬 위력</v>
      </c>
      <c r="H119" s="21" t="n">
        <f aca="false">장비_기본!I19*INDEX(등급!$C$5:$C$12,MATCH($D119,등급!$A$5:$A$12,0))</f>
        <v>0.17</v>
      </c>
      <c r="I119" s="13" t="s">
        <v>78</v>
      </c>
      <c r="J119" s="12"/>
      <c r="K119" s="19" t="n">
        <f aca="false">INDEX(등급!$D$5:$D$12,MATCH($D119,등급!$A$5:$A$12,0))</f>
        <v>1</v>
      </c>
      <c r="L119" s="19" t="str">
        <f aca="false">IF(INDEX(등급!$H$5:$H$12,MATCH($D119,등급!$A$5:$A$12,0))=0,"-",IF(INDEX(등급!$G$5:$G$12,MATCH($D119,등급!$A$5:$A$12,0))=INDEX(등급!$H$5:$H$12,MATCH($D119,등급!$A$5:$A$12,0)),INDEX(등급!$G$5:$G$12,MATCH($D119,등급!$A$5:$A$12,0))&amp;"칸",INDEX(등급!$G$5:$G$12,MATCH($D119,등급!$A$5:$A$12,0))&amp;"~"&amp;INDEX(등급!$H$5:$H$12,MATCH($D119,등급!$A$5:$A$12,0))&amp;"칸"))</f>
        <v>-</v>
      </c>
      <c r="M119" s="19" t="str">
        <f aca="false">IF(INDEX(등급!$J$5:$J$12,MATCH($D119,등급!$A$5:$A$12,0))=0,"-",IF(INDEX(등급!$I$5:$I$12,MATCH($D119,등급!$A$5:$A$12,0))=INDEX(등급!$J$5:$J$12,MATCH($D119,등급!$A$5:$A$12,0)),INDEX(등급!$I$5:$I$12,MATCH($D119,등급!$A$5:$A$12,0))&amp;"개",INDEX(등급!$I$5:$I$12,MATCH($D119,등급!$A$5:$A$12,0))&amp;"~"&amp;INDEX(등급!$J$5:$J$12,MATCH($D119,등급!$A$5:$A$12,0))&amp;"개"))</f>
        <v>-</v>
      </c>
      <c r="N119" s="19" t="str">
        <f aca="false">IF(INDEX(등급!$L$5:$L$12,MATCH($D119,등급!$A$5:$A$12,0))=0,"-",INDEX(등급!$K$5:$K$12,MATCH($D119,등급!$A$5:$A$12,0))&amp;"~"&amp;INDEX(등급!$L$5:$L$12,MATCH($D119,등급!$A$5:$A$12,0))&amp;"개")</f>
        <v>-</v>
      </c>
    </row>
    <row r="120" customFormat="false" ht="15" hidden="false" customHeight="false" outlineLevel="0" collapsed="false">
      <c r="A120" s="19" t="str">
        <f aca="false">장비_기본!B19</f>
        <v>검귀의 소울 메달</v>
      </c>
      <c r="B120" s="19" t="str">
        <f aca="false">장비_기본!C19</f>
        <v>소울 메달</v>
      </c>
      <c r="C120" s="19" t="str">
        <f aca="false">장비_기본!D19</f>
        <v>근딜</v>
      </c>
      <c r="D120" s="8" t="s">
        <v>46</v>
      </c>
      <c r="E120" s="19" t="str">
        <f aca="false">장비_기본!F19</f>
        <v>치명타 피해</v>
      </c>
      <c r="F120" s="21" t="n">
        <f aca="false">장비_기본!G19*INDEX(등급!$C$5:$C$12,MATCH($D120,등급!$A$5:$A$12,0))</f>
        <v>0.126</v>
      </c>
      <c r="G120" s="19" t="str">
        <f aca="false">장비_기본!H19</f>
        <v>① 스킬 위력</v>
      </c>
      <c r="H120" s="21" t="n">
        <f aca="false">장비_기본!I19*INDEX(등급!$C$5:$C$12,MATCH($D120,등급!$A$5:$A$12,0))</f>
        <v>0.21</v>
      </c>
      <c r="I120" s="13" t="s">
        <v>78</v>
      </c>
      <c r="J120" s="12"/>
      <c r="K120" s="19" t="n">
        <f aca="false">INDEX(등급!$D$5:$D$12,MATCH($D120,등급!$A$5:$A$12,0))</f>
        <v>2</v>
      </c>
      <c r="L120" s="19" t="str">
        <f aca="false">IF(INDEX(등급!$H$5:$H$12,MATCH($D120,등급!$A$5:$A$12,0))=0,"-",IF(INDEX(등급!$G$5:$G$12,MATCH($D120,등급!$A$5:$A$12,0))=INDEX(등급!$H$5:$H$12,MATCH($D120,등급!$A$5:$A$12,0)),INDEX(등급!$G$5:$G$12,MATCH($D120,등급!$A$5:$A$12,0))&amp;"칸",INDEX(등급!$G$5:$G$12,MATCH($D120,등급!$A$5:$A$12,0))&amp;"~"&amp;INDEX(등급!$H$5:$H$12,MATCH($D120,등급!$A$5:$A$12,0))&amp;"칸"))</f>
        <v>-</v>
      </c>
      <c r="M120" s="19" t="str">
        <f aca="false">IF(INDEX(등급!$J$5:$J$12,MATCH($D120,등급!$A$5:$A$12,0))=0,"-",IF(INDEX(등급!$I$5:$I$12,MATCH($D120,등급!$A$5:$A$12,0))=INDEX(등급!$J$5:$J$12,MATCH($D120,등급!$A$5:$A$12,0)),INDEX(등급!$I$5:$I$12,MATCH($D120,등급!$A$5:$A$12,0))&amp;"개",INDEX(등급!$I$5:$I$12,MATCH($D120,등급!$A$5:$A$12,0))&amp;"~"&amp;INDEX(등급!$J$5:$J$12,MATCH($D120,등급!$A$5:$A$12,0))&amp;"개"))</f>
        <v>-</v>
      </c>
      <c r="N120" s="19" t="str">
        <f aca="false">IF(INDEX(등급!$L$5:$L$12,MATCH($D120,등급!$A$5:$A$12,0))=0,"-",INDEX(등급!$K$5:$K$12,MATCH($D120,등급!$A$5:$A$12,0))&amp;"~"&amp;INDEX(등급!$L$5:$L$12,MATCH($D120,등급!$A$5:$A$12,0))&amp;"개")</f>
        <v>-</v>
      </c>
    </row>
    <row r="121" customFormat="false" ht="15" hidden="false" customHeight="false" outlineLevel="0" collapsed="false">
      <c r="A121" s="19" t="str">
        <f aca="false">장비_기본!B19</f>
        <v>검귀의 소울 메달</v>
      </c>
      <c r="B121" s="19" t="str">
        <f aca="false">장비_기본!C19</f>
        <v>소울 메달</v>
      </c>
      <c r="C121" s="19" t="str">
        <f aca="false">장비_기본!D19</f>
        <v>근딜</v>
      </c>
      <c r="D121" s="8" t="s">
        <v>47</v>
      </c>
      <c r="E121" s="19" t="str">
        <f aca="false">장비_기본!F19</f>
        <v>치명타 피해</v>
      </c>
      <c r="F121" s="21" t="n">
        <f aca="false">장비_기본!G19*INDEX(등급!$C$5:$C$12,MATCH($D121,등급!$A$5:$A$12,0))</f>
        <v>0.153</v>
      </c>
      <c r="G121" s="19" t="str">
        <f aca="false">장비_기본!H19</f>
        <v>① 스킬 위력</v>
      </c>
      <c r="H121" s="21" t="n">
        <f aca="false">장비_기본!I19*INDEX(등급!$C$5:$C$12,MATCH($D121,등급!$A$5:$A$12,0))</f>
        <v>0.255</v>
      </c>
      <c r="I121" s="13" t="s">
        <v>78</v>
      </c>
      <c r="J121" s="12"/>
      <c r="K121" s="19" t="n">
        <f aca="false">INDEX(등급!$D$5:$D$12,MATCH($D121,등급!$A$5:$A$12,0))</f>
        <v>3</v>
      </c>
      <c r="L121" s="19" t="str">
        <f aca="false">IF(INDEX(등급!$H$5:$H$12,MATCH($D121,등급!$A$5:$A$12,0))=0,"-",IF(INDEX(등급!$G$5:$G$12,MATCH($D121,등급!$A$5:$A$12,0))=INDEX(등급!$H$5:$H$12,MATCH($D121,등급!$A$5:$A$12,0)),INDEX(등급!$G$5:$G$12,MATCH($D121,등급!$A$5:$A$12,0))&amp;"칸",INDEX(등급!$G$5:$G$12,MATCH($D121,등급!$A$5:$A$12,0))&amp;"~"&amp;INDEX(등급!$H$5:$H$12,MATCH($D121,등급!$A$5:$A$12,0))&amp;"칸"))</f>
        <v>-</v>
      </c>
      <c r="M121" s="19" t="str">
        <f aca="false">IF(INDEX(등급!$J$5:$J$12,MATCH($D121,등급!$A$5:$A$12,0))=0,"-",IF(INDEX(등급!$I$5:$I$12,MATCH($D121,등급!$A$5:$A$12,0))=INDEX(등급!$J$5:$J$12,MATCH($D121,등급!$A$5:$A$12,0)),INDEX(등급!$I$5:$I$12,MATCH($D121,등급!$A$5:$A$12,0))&amp;"개",INDEX(등급!$I$5:$I$12,MATCH($D121,등급!$A$5:$A$12,0))&amp;"~"&amp;INDEX(등급!$J$5:$J$12,MATCH($D121,등급!$A$5:$A$12,0))&amp;"개"))</f>
        <v>-</v>
      </c>
      <c r="N121" s="19" t="str">
        <f aca="false">IF(INDEX(등급!$L$5:$L$12,MATCH($D121,등급!$A$5:$A$12,0))=0,"-",INDEX(등급!$K$5:$K$12,MATCH($D121,등급!$A$5:$A$12,0))&amp;"~"&amp;INDEX(등급!$L$5:$L$12,MATCH($D121,등급!$A$5:$A$12,0))&amp;"개")</f>
        <v>-</v>
      </c>
    </row>
    <row r="122" customFormat="false" ht="15" hidden="false" customHeight="false" outlineLevel="0" collapsed="false">
      <c r="A122" s="19" t="str">
        <f aca="false">장비_기본!B19</f>
        <v>검귀의 소울 메달</v>
      </c>
      <c r="B122" s="19" t="str">
        <f aca="false">장비_기본!C19</f>
        <v>소울 메달</v>
      </c>
      <c r="C122" s="19" t="str">
        <f aca="false">장비_기본!D19</f>
        <v>근딜</v>
      </c>
      <c r="D122" s="8" t="s">
        <v>48</v>
      </c>
      <c r="E122" s="19" t="str">
        <f aca="false">장비_기본!F19</f>
        <v>치명타 피해</v>
      </c>
      <c r="F122" s="21" t="n">
        <f aca="false">장비_기본!G19*INDEX(등급!$C$5:$C$12,MATCH($D122,등급!$A$5:$A$12,0))</f>
        <v>0.183</v>
      </c>
      <c r="G122" s="19" t="str">
        <f aca="false">장비_기본!H19</f>
        <v>① 스킬 위력</v>
      </c>
      <c r="H122" s="21" t="n">
        <f aca="false">장비_기본!I19*INDEX(등급!$C$5:$C$12,MATCH($D122,등급!$A$5:$A$12,0))</f>
        <v>0.305</v>
      </c>
      <c r="I122" s="13" t="s">
        <v>78</v>
      </c>
      <c r="J122" s="12"/>
      <c r="K122" s="19" t="n">
        <f aca="false">INDEX(등급!$D$5:$D$12,MATCH($D122,등급!$A$5:$A$12,0))</f>
        <v>4</v>
      </c>
      <c r="L122" s="19" t="str">
        <f aca="false">IF(INDEX(등급!$H$5:$H$12,MATCH($D122,등급!$A$5:$A$12,0))=0,"-",IF(INDEX(등급!$G$5:$G$12,MATCH($D122,등급!$A$5:$A$12,0))=INDEX(등급!$H$5:$H$12,MATCH($D122,등급!$A$5:$A$12,0)),INDEX(등급!$G$5:$G$12,MATCH($D122,등급!$A$5:$A$12,0))&amp;"칸",INDEX(등급!$G$5:$G$12,MATCH($D122,등급!$A$5:$A$12,0))&amp;"~"&amp;INDEX(등급!$H$5:$H$12,MATCH($D122,등급!$A$5:$A$12,0))&amp;"칸"))</f>
        <v>-</v>
      </c>
      <c r="M122" s="19" t="str">
        <f aca="false">IF(INDEX(등급!$J$5:$J$12,MATCH($D122,등급!$A$5:$A$12,0))=0,"-",IF(INDEX(등급!$I$5:$I$12,MATCH($D122,등급!$A$5:$A$12,0))=INDEX(등급!$J$5:$J$12,MATCH($D122,등급!$A$5:$A$12,0)),INDEX(등급!$I$5:$I$12,MATCH($D122,등급!$A$5:$A$12,0))&amp;"개",INDEX(등급!$I$5:$I$12,MATCH($D122,등급!$A$5:$A$12,0))&amp;"~"&amp;INDEX(등급!$J$5:$J$12,MATCH($D122,등급!$A$5:$A$12,0))&amp;"개"))</f>
        <v>-</v>
      </c>
      <c r="N122" s="19" t="str">
        <f aca="false">IF(INDEX(등급!$L$5:$L$12,MATCH($D122,등급!$A$5:$A$12,0))=0,"-",INDEX(등급!$K$5:$K$12,MATCH($D122,등급!$A$5:$A$12,0))&amp;"~"&amp;INDEX(등급!$L$5:$L$12,MATCH($D122,등급!$A$5:$A$12,0))&amp;"개")</f>
        <v>-</v>
      </c>
    </row>
    <row r="123" customFormat="false" ht="15" hidden="false" customHeight="false" outlineLevel="0" collapsed="false">
      <c r="A123" s="19" t="str">
        <f aca="false">장비_기본!B19</f>
        <v>검귀의 소울 메달</v>
      </c>
      <c r="B123" s="19" t="str">
        <f aca="false">장비_기본!C19</f>
        <v>소울 메달</v>
      </c>
      <c r="C123" s="19" t="str">
        <f aca="false">장비_기본!D19</f>
        <v>근딜</v>
      </c>
      <c r="D123" s="8" t="s">
        <v>49</v>
      </c>
      <c r="E123" s="19" t="str">
        <f aca="false">장비_기본!F19</f>
        <v>치명타 피해</v>
      </c>
      <c r="F123" s="21" t="n">
        <f aca="false">장비_기본!G19*INDEX(등급!$C$5:$C$12,MATCH($D123,등급!$A$5:$A$12,0))</f>
        <v>0.192</v>
      </c>
      <c r="G123" s="19" t="str">
        <f aca="false">장비_기본!H19</f>
        <v>① 스킬 위력</v>
      </c>
      <c r="H123" s="21" t="n">
        <f aca="false">장비_기본!I19*INDEX(등급!$C$5:$C$12,MATCH($D123,등급!$A$5:$A$12,0))</f>
        <v>0.32</v>
      </c>
      <c r="I123" s="13" t="s">
        <v>78</v>
      </c>
      <c r="J123" s="12"/>
      <c r="K123" s="19" t="n">
        <f aca="false">INDEX(등급!$D$5:$D$12,MATCH($D123,등급!$A$5:$A$12,0))</f>
        <v>4</v>
      </c>
      <c r="L123" s="19" t="str">
        <f aca="false">IF(INDEX(등급!$H$5:$H$12,MATCH($D123,등급!$A$5:$A$12,0))=0,"-",IF(INDEX(등급!$G$5:$G$12,MATCH($D123,등급!$A$5:$A$12,0))=INDEX(등급!$H$5:$H$12,MATCH($D123,등급!$A$5:$A$12,0)),INDEX(등급!$G$5:$G$12,MATCH($D123,등급!$A$5:$A$12,0))&amp;"칸",INDEX(등급!$G$5:$G$12,MATCH($D123,등급!$A$5:$A$12,0))&amp;"~"&amp;INDEX(등급!$H$5:$H$12,MATCH($D123,등급!$A$5:$A$12,0))&amp;"칸"))</f>
        <v>1칸</v>
      </c>
      <c r="M123" s="19" t="str">
        <f aca="false">IF(INDEX(등급!$J$5:$J$12,MATCH($D123,등급!$A$5:$A$12,0))=0,"-",IF(INDEX(등급!$I$5:$I$12,MATCH($D123,등급!$A$5:$A$12,0))=INDEX(등급!$J$5:$J$12,MATCH($D123,등급!$A$5:$A$12,0)),INDEX(등급!$I$5:$I$12,MATCH($D123,등급!$A$5:$A$12,0))&amp;"개",INDEX(등급!$I$5:$I$12,MATCH($D123,등급!$A$5:$A$12,0))&amp;"~"&amp;INDEX(등급!$J$5:$J$12,MATCH($D123,등급!$A$5:$A$12,0))&amp;"개"))</f>
        <v>0~1개</v>
      </c>
      <c r="N123" s="19" t="str">
        <f aca="false">IF(INDEX(등급!$L$5:$L$12,MATCH($D123,등급!$A$5:$A$12,0))=0,"-",INDEX(등급!$K$5:$K$12,MATCH($D123,등급!$A$5:$A$12,0))&amp;"~"&amp;INDEX(등급!$L$5:$L$12,MATCH($D123,등급!$A$5:$A$12,0))&amp;"개")</f>
        <v>0~1개</v>
      </c>
    </row>
    <row r="124" customFormat="false" ht="15" hidden="false" customHeight="false" outlineLevel="0" collapsed="false">
      <c r="A124" s="19" t="str">
        <f aca="false">장비_기본!B19</f>
        <v>검귀의 소울 메달</v>
      </c>
      <c r="B124" s="19" t="str">
        <f aca="false">장비_기본!C19</f>
        <v>소울 메달</v>
      </c>
      <c r="C124" s="19" t="str">
        <f aca="false">장비_기본!D19</f>
        <v>근딜</v>
      </c>
      <c r="D124" s="8" t="s">
        <v>51</v>
      </c>
      <c r="E124" s="19" t="str">
        <f aca="false">장비_기본!F19</f>
        <v>치명타 피해</v>
      </c>
      <c r="F124" s="21" t="n">
        <f aca="false">장비_기본!G19*INDEX(등급!$C$5:$C$12,MATCH($D124,등급!$A$5:$A$12,0))</f>
        <v>0.198</v>
      </c>
      <c r="G124" s="19" t="str">
        <f aca="false">장비_기본!H19</f>
        <v>① 스킬 위력</v>
      </c>
      <c r="H124" s="21" t="n">
        <f aca="false">장비_기본!I19*INDEX(등급!$C$5:$C$12,MATCH($D124,등급!$A$5:$A$12,0))</f>
        <v>0.33</v>
      </c>
      <c r="I124" s="13" t="s">
        <v>78</v>
      </c>
      <c r="J124" s="12"/>
      <c r="K124" s="19" t="n">
        <f aca="false">INDEX(등급!$D$5:$D$12,MATCH($D124,등급!$A$5:$A$12,0))</f>
        <v>4</v>
      </c>
      <c r="L124" s="19" t="str">
        <f aca="false">IF(INDEX(등급!$H$5:$H$12,MATCH($D124,등급!$A$5:$A$12,0))=0,"-",IF(INDEX(등급!$G$5:$G$12,MATCH($D124,등급!$A$5:$A$12,0))=INDEX(등급!$H$5:$H$12,MATCH($D124,등급!$A$5:$A$12,0)),INDEX(등급!$G$5:$G$12,MATCH($D124,등급!$A$5:$A$12,0))&amp;"칸",INDEX(등급!$G$5:$G$12,MATCH($D124,등급!$A$5:$A$12,0))&amp;"~"&amp;INDEX(등급!$H$5:$H$12,MATCH($D124,등급!$A$5:$A$12,0))&amp;"칸"))</f>
        <v>1~3칸</v>
      </c>
      <c r="M124" s="19" t="str">
        <f aca="false">IF(INDEX(등급!$J$5:$J$12,MATCH($D124,등급!$A$5:$A$12,0))=0,"-",IF(INDEX(등급!$I$5:$I$12,MATCH($D124,등급!$A$5:$A$12,0))=INDEX(등급!$J$5:$J$12,MATCH($D124,등급!$A$5:$A$12,0)),INDEX(등급!$I$5:$I$12,MATCH($D124,등급!$A$5:$A$12,0))&amp;"개",INDEX(등급!$I$5:$I$12,MATCH($D124,등급!$A$5:$A$12,0))&amp;"~"&amp;INDEX(등급!$J$5:$J$12,MATCH($D124,등급!$A$5:$A$12,0))&amp;"개"))</f>
        <v>1개</v>
      </c>
      <c r="N124" s="19" t="str">
        <f aca="false">IF(INDEX(등급!$L$5:$L$12,MATCH($D124,등급!$A$5:$A$12,0))=0,"-",INDEX(등급!$K$5:$K$12,MATCH($D124,등급!$A$5:$A$12,0))&amp;"~"&amp;INDEX(등급!$L$5:$L$12,MATCH($D124,등급!$A$5:$A$12,0))&amp;"개")</f>
        <v>0~2개</v>
      </c>
    </row>
    <row r="125" customFormat="false" ht="15" hidden="false" customHeight="false" outlineLevel="0" collapsed="false">
      <c r="A125" s="19" t="str">
        <f aca="false">장비_기본!B20</f>
        <v>투지의 소울 메달</v>
      </c>
      <c r="B125" s="19" t="str">
        <f aca="false">장비_기본!C20</f>
        <v>소울 메달</v>
      </c>
      <c r="C125" s="19" t="str">
        <f aca="false">장비_기본!D20</f>
        <v>근딜</v>
      </c>
      <c r="D125" s="8" t="s">
        <v>43</v>
      </c>
      <c r="E125" s="19" t="str">
        <f aca="false">장비_기본!F20</f>
        <v>치명타 피해</v>
      </c>
      <c r="F125" s="21" t="n">
        <f aca="false">장비_기본!G20*INDEX(등급!$C$5:$C$12,MATCH($D125,등급!$A$5:$A$12,0))</f>
        <v>0.06</v>
      </c>
      <c r="G125" s="19" t="str">
        <f aca="false">장비_기본!H20</f>
        <v>② 스킬 위력</v>
      </c>
      <c r="H125" s="21" t="n">
        <f aca="false">장비_기본!I20*INDEX(등급!$C$5:$C$12,MATCH($D125,등급!$A$5:$A$12,0))</f>
        <v>0.1</v>
      </c>
      <c r="I125" s="13" t="s">
        <v>78</v>
      </c>
      <c r="J125" s="12"/>
      <c r="K125" s="19" t="n">
        <f aca="false">INDEX(등급!$D$5:$D$12,MATCH($D125,등급!$A$5:$A$12,0))</f>
        <v>0</v>
      </c>
      <c r="L125" s="19" t="str">
        <f aca="false">IF(INDEX(등급!$H$5:$H$12,MATCH($D125,등급!$A$5:$A$12,0))=0,"-",IF(INDEX(등급!$G$5:$G$12,MATCH($D125,등급!$A$5:$A$12,0))=INDEX(등급!$H$5:$H$12,MATCH($D125,등급!$A$5:$A$12,0)),INDEX(등급!$G$5:$G$12,MATCH($D125,등급!$A$5:$A$12,0))&amp;"칸",INDEX(등급!$G$5:$G$12,MATCH($D125,등급!$A$5:$A$12,0))&amp;"~"&amp;INDEX(등급!$H$5:$H$12,MATCH($D125,등급!$A$5:$A$12,0))&amp;"칸"))</f>
        <v>-</v>
      </c>
      <c r="M125" s="19" t="str">
        <f aca="false">IF(INDEX(등급!$J$5:$J$12,MATCH($D125,등급!$A$5:$A$12,0))=0,"-",IF(INDEX(등급!$I$5:$I$12,MATCH($D125,등급!$A$5:$A$12,0))=INDEX(등급!$J$5:$J$12,MATCH($D125,등급!$A$5:$A$12,0)),INDEX(등급!$I$5:$I$12,MATCH($D125,등급!$A$5:$A$12,0))&amp;"개",INDEX(등급!$I$5:$I$12,MATCH($D125,등급!$A$5:$A$12,0))&amp;"~"&amp;INDEX(등급!$J$5:$J$12,MATCH($D125,등급!$A$5:$A$12,0))&amp;"개"))</f>
        <v>-</v>
      </c>
      <c r="N125" s="19" t="str">
        <f aca="false">IF(INDEX(등급!$L$5:$L$12,MATCH($D125,등급!$A$5:$A$12,0))=0,"-",INDEX(등급!$K$5:$K$12,MATCH($D125,등급!$A$5:$A$12,0))&amp;"~"&amp;INDEX(등급!$L$5:$L$12,MATCH($D125,등급!$A$5:$A$12,0))&amp;"개")</f>
        <v>-</v>
      </c>
    </row>
    <row r="126" customFormat="false" ht="15" hidden="false" customHeight="false" outlineLevel="0" collapsed="false">
      <c r="A126" s="19" t="str">
        <f aca="false">장비_기본!B20</f>
        <v>투지의 소울 메달</v>
      </c>
      <c r="B126" s="19" t="str">
        <f aca="false">장비_기본!C20</f>
        <v>소울 메달</v>
      </c>
      <c r="C126" s="19" t="str">
        <f aca="false">장비_기본!D20</f>
        <v>근딜</v>
      </c>
      <c r="D126" s="8" t="s">
        <v>44</v>
      </c>
      <c r="E126" s="19" t="str">
        <f aca="false">장비_기본!F20</f>
        <v>치명타 피해</v>
      </c>
      <c r="F126" s="21" t="n">
        <f aca="false">장비_기본!G20*INDEX(등급!$C$5:$C$12,MATCH($D126,등급!$A$5:$A$12,0))</f>
        <v>0.087</v>
      </c>
      <c r="G126" s="19" t="str">
        <f aca="false">장비_기본!H20</f>
        <v>② 스킬 위력</v>
      </c>
      <c r="H126" s="21" t="n">
        <f aca="false">장비_기본!I20*INDEX(등급!$C$5:$C$12,MATCH($D126,등급!$A$5:$A$12,0))</f>
        <v>0.145</v>
      </c>
      <c r="I126" s="13" t="s">
        <v>78</v>
      </c>
      <c r="J126" s="12"/>
      <c r="K126" s="19" t="n">
        <f aca="false">INDEX(등급!$D$5:$D$12,MATCH($D126,등급!$A$5:$A$12,0))</f>
        <v>0</v>
      </c>
      <c r="L126" s="19" t="str">
        <f aca="false">IF(INDEX(등급!$H$5:$H$12,MATCH($D126,등급!$A$5:$A$12,0))=0,"-",IF(INDEX(등급!$G$5:$G$12,MATCH($D126,등급!$A$5:$A$12,0))=INDEX(등급!$H$5:$H$12,MATCH($D126,등급!$A$5:$A$12,0)),INDEX(등급!$G$5:$G$12,MATCH($D126,등급!$A$5:$A$12,0))&amp;"칸",INDEX(등급!$G$5:$G$12,MATCH($D126,등급!$A$5:$A$12,0))&amp;"~"&amp;INDEX(등급!$H$5:$H$12,MATCH($D126,등급!$A$5:$A$12,0))&amp;"칸"))</f>
        <v>-</v>
      </c>
      <c r="M126" s="19" t="str">
        <f aca="false">IF(INDEX(등급!$J$5:$J$12,MATCH($D126,등급!$A$5:$A$12,0))=0,"-",IF(INDEX(등급!$I$5:$I$12,MATCH($D126,등급!$A$5:$A$12,0))=INDEX(등급!$J$5:$J$12,MATCH($D126,등급!$A$5:$A$12,0)),INDEX(등급!$I$5:$I$12,MATCH($D126,등급!$A$5:$A$12,0))&amp;"개",INDEX(등급!$I$5:$I$12,MATCH($D126,등급!$A$5:$A$12,0))&amp;"~"&amp;INDEX(등급!$J$5:$J$12,MATCH($D126,등급!$A$5:$A$12,0))&amp;"개"))</f>
        <v>-</v>
      </c>
      <c r="N126" s="19" t="str">
        <f aca="false">IF(INDEX(등급!$L$5:$L$12,MATCH($D126,등급!$A$5:$A$12,0))=0,"-",INDEX(등급!$K$5:$K$12,MATCH($D126,등급!$A$5:$A$12,0))&amp;"~"&amp;INDEX(등급!$L$5:$L$12,MATCH($D126,등급!$A$5:$A$12,0))&amp;"개")</f>
        <v>-</v>
      </c>
    </row>
    <row r="127" customFormat="false" ht="15" hidden="false" customHeight="false" outlineLevel="0" collapsed="false">
      <c r="A127" s="19" t="str">
        <f aca="false">장비_기본!B20</f>
        <v>투지의 소울 메달</v>
      </c>
      <c r="B127" s="19" t="str">
        <f aca="false">장비_기본!C20</f>
        <v>소울 메달</v>
      </c>
      <c r="C127" s="19" t="str">
        <f aca="false">장비_기본!D20</f>
        <v>근딜</v>
      </c>
      <c r="D127" s="8" t="s">
        <v>45</v>
      </c>
      <c r="E127" s="19" t="str">
        <f aca="false">장비_기본!F20</f>
        <v>치명타 피해</v>
      </c>
      <c r="F127" s="21" t="n">
        <f aca="false">장비_기본!G20*INDEX(등급!$C$5:$C$12,MATCH($D127,등급!$A$5:$A$12,0))</f>
        <v>0.102</v>
      </c>
      <c r="G127" s="19" t="str">
        <f aca="false">장비_기본!H20</f>
        <v>② 스킬 위력</v>
      </c>
      <c r="H127" s="21" t="n">
        <f aca="false">장비_기본!I20*INDEX(등급!$C$5:$C$12,MATCH($D127,등급!$A$5:$A$12,0))</f>
        <v>0.17</v>
      </c>
      <c r="I127" s="13" t="s">
        <v>78</v>
      </c>
      <c r="J127" s="12"/>
      <c r="K127" s="19" t="n">
        <f aca="false">INDEX(등급!$D$5:$D$12,MATCH($D127,등급!$A$5:$A$12,0))</f>
        <v>1</v>
      </c>
      <c r="L127" s="19" t="str">
        <f aca="false">IF(INDEX(등급!$H$5:$H$12,MATCH($D127,등급!$A$5:$A$12,0))=0,"-",IF(INDEX(등급!$G$5:$G$12,MATCH($D127,등급!$A$5:$A$12,0))=INDEX(등급!$H$5:$H$12,MATCH($D127,등급!$A$5:$A$12,0)),INDEX(등급!$G$5:$G$12,MATCH($D127,등급!$A$5:$A$12,0))&amp;"칸",INDEX(등급!$G$5:$G$12,MATCH($D127,등급!$A$5:$A$12,0))&amp;"~"&amp;INDEX(등급!$H$5:$H$12,MATCH($D127,등급!$A$5:$A$12,0))&amp;"칸"))</f>
        <v>-</v>
      </c>
      <c r="M127" s="19" t="str">
        <f aca="false">IF(INDEX(등급!$J$5:$J$12,MATCH($D127,등급!$A$5:$A$12,0))=0,"-",IF(INDEX(등급!$I$5:$I$12,MATCH($D127,등급!$A$5:$A$12,0))=INDEX(등급!$J$5:$J$12,MATCH($D127,등급!$A$5:$A$12,0)),INDEX(등급!$I$5:$I$12,MATCH($D127,등급!$A$5:$A$12,0))&amp;"개",INDEX(등급!$I$5:$I$12,MATCH($D127,등급!$A$5:$A$12,0))&amp;"~"&amp;INDEX(등급!$J$5:$J$12,MATCH($D127,등급!$A$5:$A$12,0))&amp;"개"))</f>
        <v>-</v>
      </c>
      <c r="N127" s="19" t="str">
        <f aca="false">IF(INDEX(등급!$L$5:$L$12,MATCH($D127,등급!$A$5:$A$12,0))=0,"-",INDEX(등급!$K$5:$K$12,MATCH($D127,등급!$A$5:$A$12,0))&amp;"~"&amp;INDEX(등급!$L$5:$L$12,MATCH($D127,등급!$A$5:$A$12,0))&amp;"개")</f>
        <v>-</v>
      </c>
    </row>
    <row r="128" customFormat="false" ht="15" hidden="false" customHeight="false" outlineLevel="0" collapsed="false">
      <c r="A128" s="19" t="str">
        <f aca="false">장비_기본!B20</f>
        <v>투지의 소울 메달</v>
      </c>
      <c r="B128" s="19" t="str">
        <f aca="false">장비_기본!C20</f>
        <v>소울 메달</v>
      </c>
      <c r="C128" s="19" t="str">
        <f aca="false">장비_기본!D20</f>
        <v>근딜</v>
      </c>
      <c r="D128" s="8" t="s">
        <v>46</v>
      </c>
      <c r="E128" s="19" t="str">
        <f aca="false">장비_기본!F20</f>
        <v>치명타 피해</v>
      </c>
      <c r="F128" s="21" t="n">
        <f aca="false">장비_기본!G20*INDEX(등급!$C$5:$C$12,MATCH($D128,등급!$A$5:$A$12,0))</f>
        <v>0.126</v>
      </c>
      <c r="G128" s="19" t="str">
        <f aca="false">장비_기본!H20</f>
        <v>② 스킬 위력</v>
      </c>
      <c r="H128" s="21" t="n">
        <f aca="false">장비_기본!I20*INDEX(등급!$C$5:$C$12,MATCH($D128,등급!$A$5:$A$12,0))</f>
        <v>0.21</v>
      </c>
      <c r="I128" s="13" t="s">
        <v>78</v>
      </c>
      <c r="J128" s="12"/>
      <c r="K128" s="19" t="n">
        <f aca="false">INDEX(등급!$D$5:$D$12,MATCH($D128,등급!$A$5:$A$12,0))</f>
        <v>2</v>
      </c>
      <c r="L128" s="19" t="str">
        <f aca="false">IF(INDEX(등급!$H$5:$H$12,MATCH($D128,등급!$A$5:$A$12,0))=0,"-",IF(INDEX(등급!$G$5:$G$12,MATCH($D128,등급!$A$5:$A$12,0))=INDEX(등급!$H$5:$H$12,MATCH($D128,등급!$A$5:$A$12,0)),INDEX(등급!$G$5:$G$12,MATCH($D128,등급!$A$5:$A$12,0))&amp;"칸",INDEX(등급!$G$5:$G$12,MATCH($D128,등급!$A$5:$A$12,0))&amp;"~"&amp;INDEX(등급!$H$5:$H$12,MATCH($D128,등급!$A$5:$A$12,0))&amp;"칸"))</f>
        <v>-</v>
      </c>
      <c r="M128" s="19" t="str">
        <f aca="false">IF(INDEX(등급!$J$5:$J$12,MATCH($D128,등급!$A$5:$A$12,0))=0,"-",IF(INDEX(등급!$I$5:$I$12,MATCH($D128,등급!$A$5:$A$12,0))=INDEX(등급!$J$5:$J$12,MATCH($D128,등급!$A$5:$A$12,0)),INDEX(등급!$I$5:$I$12,MATCH($D128,등급!$A$5:$A$12,0))&amp;"개",INDEX(등급!$I$5:$I$12,MATCH($D128,등급!$A$5:$A$12,0))&amp;"~"&amp;INDEX(등급!$J$5:$J$12,MATCH($D128,등급!$A$5:$A$12,0))&amp;"개"))</f>
        <v>-</v>
      </c>
      <c r="N128" s="19" t="str">
        <f aca="false">IF(INDEX(등급!$L$5:$L$12,MATCH($D128,등급!$A$5:$A$12,0))=0,"-",INDEX(등급!$K$5:$K$12,MATCH($D128,등급!$A$5:$A$12,0))&amp;"~"&amp;INDEX(등급!$L$5:$L$12,MATCH($D128,등급!$A$5:$A$12,0))&amp;"개")</f>
        <v>-</v>
      </c>
    </row>
    <row r="129" customFormat="false" ht="15" hidden="false" customHeight="false" outlineLevel="0" collapsed="false">
      <c r="A129" s="19" t="str">
        <f aca="false">장비_기본!B20</f>
        <v>투지의 소울 메달</v>
      </c>
      <c r="B129" s="19" t="str">
        <f aca="false">장비_기본!C20</f>
        <v>소울 메달</v>
      </c>
      <c r="C129" s="19" t="str">
        <f aca="false">장비_기본!D20</f>
        <v>근딜</v>
      </c>
      <c r="D129" s="8" t="s">
        <v>47</v>
      </c>
      <c r="E129" s="19" t="str">
        <f aca="false">장비_기본!F20</f>
        <v>치명타 피해</v>
      </c>
      <c r="F129" s="21" t="n">
        <f aca="false">장비_기본!G20*INDEX(등급!$C$5:$C$12,MATCH($D129,등급!$A$5:$A$12,0))</f>
        <v>0.153</v>
      </c>
      <c r="G129" s="19" t="str">
        <f aca="false">장비_기본!H20</f>
        <v>② 스킬 위력</v>
      </c>
      <c r="H129" s="21" t="n">
        <f aca="false">장비_기본!I20*INDEX(등급!$C$5:$C$12,MATCH($D129,등급!$A$5:$A$12,0))</f>
        <v>0.255</v>
      </c>
      <c r="I129" s="13" t="s">
        <v>78</v>
      </c>
      <c r="J129" s="12"/>
      <c r="K129" s="19" t="n">
        <f aca="false">INDEX(등급!$D$5:$D$12,MATCH($D129,등급!$A$5:$A$12,0))</f>
        <v>3</v>
      </c>
      <c r="L129" s="19" t="str">
        <f aca="false">IF(INDEX(등급!$H$5:$H$12,MATCH($D129,등급!$A$5:$A$12,0))=0,"-",IF(INDEX(등급!$G$5:$G$12,MATCH($D129,등급!$A$5:$A$12,0))=INDEX(등급!$H$5:$H$12,MATCH($D129,등급!$A$5:$A$12,0)),INDEX(등급!$G$5:$G$12,MATCH($D129,등급!$A$5:$A$12,0))&amp;"칸",INDEX(등급!$G$5:$G$12,MATCH($D129,등급!$A$5:$A$12,0))&amp;"~"&amp;INDEX(등급!$H$5:$H$12,MATCH($D129,등급!$A$5:$A$12,0))&amp;"칸"))</f>
        <v>-</v>
      </c>
      <c r="M129" s="19" t="str">
        <f aca="false">IF(INDEX(등급!$J$5:$J$12,MATCH($D129,등급!$A$5:$A$12,0))=0,"-",IF(INDEX(등급!$I$5:$I$12,MATCH($D129,등급!$A$5:$A$12,0))=INDEX(등급!$J$5:$J$12,MATCH($D129,등급!$A$5:$A$12,0)),INDEX(등급!$I$5:$I$12,MATCH($D129,등급!$A$5:$A$12,0))&amp;"개",INDEX(등급!$I$5:$I$12,MATCH($D129,등급!$A$5:$A$12,0))&amp;"~"&amp;INDEX(등급!$J$5:$J$12,MATCH($D129,등급!$A$5:$A$12,0))&amp;"개"))</f>
        <v>-</v>
      </c>
      <c r="N129" s="19" t="str">
        <f aca="false">IF(INDEX(등급!$L$5:$L$12,MATCH($D129,등급!$A$5:$A$12,0))=0,"-",INDEX(등급!$K$5:$K$12,MATCH($D129,등급!$A$5:$A$12,0))&amp;"~"&amp;INDEX(등급!$L$5:$L$12,MATCH($D129,등급!$A$5:$A$12,0))&amp;"개")</f>
        <v>-</v>
      </c>
    </row>
    <row r="130" customFormat="false" ht="15" hidden="false" customHeight="false" outlineLevel="0" collapsed="false">
      <c r="A130" s="19" t="str">
        <f aca="false">장비_기본!B20</f>
        <v>투지의 소울 메달</v>
      </c>
      <c r="B130" s="19" t="str">
        <f aca="false">장비_기본!C20</f>
        <v>소울 메달</v>
      </c>
      <c r="C130" s="19" t="str">
        <f aca="false">장비_기본!D20</f>
        <v>근딜</v>
      </c>
      <c r="D130" s="8" t="s">
        <v>48</v>
      </c>
      <c r="E130" s="19" t="str">
        <f aca="false">장비_기본!F20</f>
        <v>치명타 피해</v>
      </c>
      <c r="F130" s="21" t="n">
        <f aca="false">장비_기본!G20*INDEX(등급!$C$5:$C$12,MATCH($D130,등급!$A$5:$A$12,0))</f>
        <v>0.183</v>
      </c>
      <c r="G130" s="19" t="str">
        <f aca="false">장비_기본!H20</f>
        <v>② 스킬 위력</v>
      </c>
      <c r="H130" s="21" t="n">
        <f aca="false">장비_기본!I20*INDEX(등급!$C$5:$C$12,MATCH($D130,등급!$A$5:$A$12,0))</f>
        <v>0.305</v>
      </c>
      <c r="I130" s="13" t="s">
        <v>78</v>
      </c>
      <c r="J130" s="12"/>
      <c r="K130" s="19" t="n">
        <f aca="false">INDEX(등급!$D$5:$D$12,MATCH($D130,등급!$A$5:$A$12,0))</f>
        <v>4</v>
      </c>
      <c r="L130" s="19" t="str">
        <f aca="false">IF(INDEX(등급!$H$5:$H$12,MATCH($D130,등급!$A$5:$A$12,0))=0,"-",IF(INDEX(등급!$G$5:$G$12,MATCH($D130,등급!$A$5:$A$12,0))=INDEX(등급!$H$5:$H$12,MATCH($D130,등급!$A$5:$A$12,0)),INDEX(등급!$G$5:$G$12,MATCH($D130,등급!$A$5:$A$12,0))&amp;"칸",INDEX(등급!$G$5:$G$12,MATCH($D130,등급!$A$5:$A$12,0))&amp;"~"&amp;INDEX(등급!$H$5:$H$12,MATCH($D130,등급!$A$5:$A$12,0))&amp;"칸"))</f>
        <v>-</v>
      </c>
      <c r="M130" s="19" t="str">
        <f aca="false">IF(INDEX(등급!$J$5:$J$12,MATCH($D130,등급!$A$5:$A$12,0))=0,"-",IF(INDEX(등급!$I$5:$I$12,MATCH($D130,등급!$A$5:$A$12,0))=INDEX(등급!$J$5:$J$12,MATCH($D130,등급!$A$5:$A$12,0)),INDEX(등급!$I$5:$I$12,MATCH($D130,등급!$A$5:$A$12,0))&amp;"개",INDEX(등급!$I$5:$I$12,MATCH($D130,등급!$A$5:$A$12,0))&amp;"~"&amp;INDEX(등급!$J$5:$J$12,MATCH($D130,등급!$A$5:$A$12,0))&amp;"개"))</f>
        <v>-</v>
      </c>
      <c r="N130" s="19" t="str">
        <f aca="false">IF(INDEX(등급!$L$5:$L$12,MATCH($D130,등급!$A$5:$A$12,0))=0,"-",INDEX(등급!$K$5:$K$12,MATCH($D130,등급!$A$5:$A$12,0))&amp;"~"&amp;INDEX(등급!$L$5:$L$12,MATCH($D130,등급!$A$5:$A$12,0))&amp;"개")</f>
        <v>-</v>
      </c>
    </row>
    <row r="131" customFormat="false" ht="15" hidden="false" customHeight="false" outlineLevel="0" collapsed="false">
      <c r="A131" s="19" t="str">
        <f aca="false">장비_기본!B20</f>
        <v>투지의 소울 메달</v>
      </c>
      <c r="B131" s="19" t="str">
        <f aca="false">장비_기본!C20</f>
        <v>소울 메달</v>
      </c>
      <c r="C131" s="19" t="str">
        <f aca="false">장비_기본!D20</f>
        <v>근딜</v>
      </c>
      <c r="D131" s="8" t="s">
        <v>49</v>
      </c>
      <c r="E131" s="19" t="str">
        <f aca="false">장비_기본!F20</f>
        <v>치명타 피해</v>
      </c>
      <c r="F131" s="21" t="n">
        <f aca="false">장비_기본!G20*INDEX(등급!$C$5:$C$12,MATCH($D131,등급!$A$5:$A$12,0))</f>
        <v>0.192</v>
      </c>
      <c r="G131" s="19" t="str">
        <f aca="false">장비_기본!H20</f>
        <v>② 스킬 위력</v>
      </c>
      <c r="H131" s="21" t="n">
        <f aca="false">장비_기본!I20*INDEX(등급!$C$5:$C$12,MATCH($D131,등급!$A$5:$A$12,0))</f>
        <v>0.32</v>
      </c>
      <c r="I131" s="13" t="s">
        <v>78</v>
      </c>
      <c r="J131" s="12"/>
      <c r="K131" s="19" t="n">
        <f aca="false">INDEX(등급!$D$5:$D$12,MATCH($D131,등급!$A$5:$A$12,0))</f>
        <v>4</v>
      </c>
      <c r="L131" s="19" t="str">
        <f aca="false">IF(INDEX(등급!$H$5:$H$12,MATCH($D131,등급!$A$5:$A$12,0))=0,"-",IF(INDEX(등급!$G$5:$G$12,MATCH($D131,등급!$A$5:$A$12,0))=INDEX(등급!$H$5:$H$12,MATCH($D131,등급!$A$5:$A$12,0)),INDEX(등급!$G$5:$G$12,MATCH($D131,등급!$A$5:$A$12,0))&amp;"칸",INDEX(등급!$G$5:$G$12,MATCH($D131,등급!$A$5:$A$12,0))&amp;"~"&amp;INDEX(등급!$H$5:$H$12,MATCH($D131,등급!$A$5:$A$12,0))&amp;"칸"))</f>
        <v>1칸</v>
      </c>
      <c r="M131" s="19" t="str">
        <f aca="false">IF(INDEX(등급!$J$5:$J$12,MATCH($D131,등급!$A$5:$A$12,0))=0,"-",IF(INDEX(등급!$I$5:$I$12,MATCH($D131,등급!$A$5:$A$12,0))=INDEX(등급!$J$5:$J$12,MATCH($D131,등급!$A$5:$A$12,0)),INDEX(등급!$I$5:$I$12,MATCH($D131,등급!$A$5:$A$12,0))&amp;"개",INDEX(등급!$I$5:$I$12,MATCH($D131,등급!$A$5:$A$12,0))&amp;"~"&amp;INDEX(등급!$J$5:$J$12,MATCH($D131,등급!$A$5:$A$12,0))&amp;"개"))</f>
        <v>0~1개</v>
      </c>
      <c r="N131" s="19" t="str">
        <f aca="false">IF(INDEX(등급!$L$5:$L$12,MATCH($D131,등급!$A$5:$A$12,0))=0,"-",INDEX(등급!$K$5:$K$12,MATCH($D131,등급!$A$5:$A$12,0))&amp;"~"&amp;INDEX(등급!$L$5:$L$12,MATCH($D131,등급!$A$5:$A$12,0))&amp;"개")</f>
        <v>0~1개</v>
      </c>
    </row>
    <row r="132" customFormat="false" ht="15" hidden="false" customHeight="false" outlineLevel="0" collapsed="false">
      <c r="A132" s="19" t="str">
        <f aca="false">장비_기본!B20</f>
        <v>투지의 소울 메달</v>
      </c>
      <c r="B132" s="19" t="str">
        <f aca="false">장비_기본!C20</f>
        <v>소울 메달</v>
      </c>
      <c r="C132" s="19" t="str">
        <f aca="false">장비_기본!D20</f>
        <v>근딜</v>
      </c>
      <c r="D132" s="8" t="s">
        <v>51</v>
      </c>
      <c r="E132" s="19" t="str">
        <f aca="false">장비_기본!F20</f>
        <v>치명타 피해</v>
      </c>
      <c r="F132" s="21" t="n">
        <f aca="false">장비_기본!G20*INDEX(등급!$C$5:$C$12,MATCH($D132,등급!$A$5:$A$12,0))</f>
        <v>0.198</v>
      </c>
      <c r="G132" s="19" t="str">
        <f aca="false">장비_기본!H20</f>
        <v>② 스킬 위력</v>
      </c>
      <c r="H132" s="21" t="n">
        <f aca="false">장비_기본!I20*INDEX(등급!$C$5:$C$12,MATCH($D132,등급!$A$5:$A$12,0))</f>
        <v>0.33</v>
      </c>
      <c r="I132" s="13" t="s">
        <v>78</v>
      </c>
      <c r="J132" s="12"/>
      <c r="K132" s="19" t="n">
        <f aca="false">INDEX(등급!$D$5:$D$12,MATCH($D132,등급!$A$5:$A$12,0))</f>
        <v>4</v>
      </c>
      <c r="L132" s="19" t="str">
        <f aca="false">IF(INDEX(등급!$H$5:$H$12,MATCH($D132,등급!$A$5:$A$12,0))=0,"-",IF(INDEX(등급!$G$5:$G$12,MATCH($D132,등급!$A$5:$A$12,0))=INDEX(등급!$H$5:$H$12,MATCH($D132,등급!$A$5:$A$12,0)),INDEX(등급!$G$5:$G$12,MATCH($D132,등급!$A$5:$A$12,0))&amp;"칸",INDEX(등급!$G$5:$G$12,MATCH($D132,등급!$A$5:$A$12,0))&amp;"~"&amp;INDEX(등급!$H$5:$H$12,MATCH($D132,등급!$A$5:$A$12,0))&amp;"칸"))</f>
        <v>1~3칸</v>
      </c>
      <c r="M132" s="19" t="str">
        <f aca="false">IF(INDEX(등급!$J$5:$J$12,MATCH($D132,등급!$A$5:$A$12,0))=0,"-",IF(INDEX(등급!$I$5:$I$12,MATCH($D132,등급!$A$5:$A$12,0))=INDEX(등급!$J$5:$J$12,MATCH($D132,등급!$A$5:$A$12,0)),INDEX(등급!$I$5:$I$12,MATCH($D132,등급!$A$5:$A$12,0))&amp;"개",INDEX(등급!$I$5:$I$12,MATCH($D132,등급!$A$5:$A$12,0))&amp;"~"&amp;INDEX(등급!$J$5:$J$12,MATCH($D132,등급!$A$5:$A$12,0))&amp;"개"))</f>
        <v>1개</v>
      </c>
      <c r="N132" s="19" t="str">
        <f aca="false">IF(INDEX(등급!$L$5:$L$12,MATCH($D132,등급!$A$5:$A$12,0))=0,"-",INDEX(등급!$K$5:$K$12,MATCH($D132,등급!$A$5:$A$12,0))&amp;"~"&amp;INDEX(등급!$L$5:$L$12,MATCH($D132,등급!$A$5:$A$12,0))&amp;"개")</f>
        <v>0~2개</v>
      </c>
    </row>
    <row r="133" customFormat="false" ht="15" hidden="false" customHeight="false" outlineLevel="0" collapsed="false">
      <c r="A133" s="19" t="str">
        <f aca="false">장비_기본!B21</f>
        <v>매의 장궁</v>
      </c>
      <c r="B133" s="19" t="str">
        <f aca="false">장비_기본!C21</f>
        <v>무기</v>
      </c>
      <c r="C133" s="19" t="str">
        <f aca="false">장비_기본!D21</f>
        <v>원딜</v>
      </c>
      <c r="D133" s="8" t="s">
        <v>43</v>
      </c>
      <c r="E133" s="19" t="str">
        <f aca="false">장비_기본!F21</f>
        <v>공격력</v>
      </c>
      <c r="F133" s="20" t="n">
        <f aca="false">장비_기본!G21*INDEX(등급!$C$5:$C$12,MATCH($D133,등급!$A$5:$A$12,0))</f>
        <v>3.6</v>
      </c>
      <c r="G133" s="19" t="str">
        <f aca="false">장비_기본!H21</f>
        <v>치명타 확률</v>
      </c>
      <c r="H133" s="21" t="n">
        <f aca="false">장비_기본!I21*INDEX(등급!$C$5:$C$12,MATCH($D133,등급!$A$5:$A$12,0))</f>
        <v>0.008</v>
      </c>
      <c r="I133" s="19" t="str">
        <f aca="false">장비_기본!J21</f>
        <v>① 관통 사격 취약 지속 +[값]초</v>
      </c>
      <c r="J133" s="20" t="n">
        <f aca="false">ROUND(장비_기본!K21*INDEX(등급!$F$5:$F$12,MATCH($D133,등급!$A$5:$A$12,0)),1)</f>
        <v>0.5</v>
      </c>
      <c r="K133" s="19" t="n">
        <f aca="false">INDEX(등급!$D$5:$D$12,MATCH($D133,등급!$A$5:$A$12,0))</f>
        <v>0</v>
      </c>
      <c r="L133" s="19" t="str">
        <f aca="false">IF(INDEX(등급!$H$5:$H$12,MATCH($D133,등급!$A$5:$A$12,0))=0,"-",IF(INDEX(등급!$G$5:$G$12,MATCH($D133,등급!$A$5:$A$12,0))=INDEX(등급!$H$5:$H$12,MATCH($D133,등급!$A$5:$A$12,0)),INDEX(등급!$G$5:$G$12,MATCH($D133,등급!$A$5:$A$12,0))&amp;"칸",INDEX(등급!$G$5:$G$12,MATCH($D133,등급!$A$5:$A$12,0))&amp;"~"&amp;INDEX(등급!$H$5:$H$12,MATCH($D133,등급!$A$5:$A$12,0))&amp;"칸"))</f>
        <v>-</v>
      </c>
      <c r="M133" s="19" t="str">
        <f aca="false">IF(INDEX(등급!$J$5:$J$12,MATCH($D133,등급!$A$5:$A$12,0))=0,"-",IF(INDEX(등급!$I$5:$I$12,MATCH($D133,등급!$A$5:$A$12,0))=INDEX(등급!$J$5:$J$12,MATCH($D133,등급!$A$5:$A$12,0)),INDEX(등급!$I$5:$I$12,MATCH($D133,등급!$A$5:$A$12,0))&amp;"개",INDEX(등급!$I$5:$I$12,MATCH($D133,등급!$A$5:$A$12,0))&amp;"~"&amp;INDEX(등급!$J$5:$J$12,MATCH($D133,등급!$A$5:$A$12,0))&amp;"개"))</f>
        <v>-</v>
      </c>
      <c r="N133" s="19" t="str">
        <f aca="false">IF(INDEX(등급!$L$5:$L$12,MATCH($D133,등급!$A$5:$A$12,0))=0,"-",INDEX(등급!$K$5:$K$12,MATCH($D133,등급!$A$5:$A$12,0))&amp;"~"&amp;INDEX(등급!$L$5:$L$12,MATCH($D133,등급!$A$5:$A$12,0))&amp;"개")</f>
        <v>-</v>
      </c>
    </row>
    <row r="134" customFormat="false" ht="15" hidden="false" customHeight="false" outlineLevel="0" collapsed="false">
      <c r="A134" s="19" t="str">
        <f aca="false">장비_기본!B21</f>
        <v>매의 장궁</v>
      </c>
      <c r="B134" s="19" t="str">
        <f aca="false">장비_기본!C21</f>
        <v>무기</v>
      </c>
      <c r="C134" s="19" t="str">
        <f aca="false">장비_기본!D21</f>
        <v>원딜</v>
      </c>
      <c r="D134" s="8" t="s">
        <v>44</v>
      </c>
      <c r="E134" s="19" t="str">
        <f aca="false">장비_기본!F21</f>
        <v>공격력</v>
      </c>
      <c r="F134" s="20" t="n">
        <f aca="false">장비_기본!G21*INDEX(등급!$C$5:$C$12,MATCH($D134,등급!$A$5:$A$12,0))</f>
        <v>5.22</v>
      </c>
      <c r="G134" s="19" t="str">
        <f aca="false">장비_기본!H21</f>
        <v>치명타 확률</v>
      </c>
      <c r="H134" s="21" t="n">
        <f aca="false">장비_기본!I21*INDEX(등급!$C$5:$C$12,MATCH($D134,등급!$A$5:$A$12,0))</f>
        <v>0.0116</v>
      </c>
      <c r="I134" s="19" t="str">
        <f aca="false">장비_기본!J21</f>
        <v>① 관통 사격 취약 지속 +[값]초</v>
      </c>
      <c r="J134" s="20" t="n">
        <f aca="false">ROUND(장비_기본!K21*INDEX(등급!$F$5:$F$12,MATCH($D134,등급!$A$5:$A$12,0)),1)</f>
        <v>0.7</v>
      </c>
      <c r="K134" s="19" t="n">
        <f aca="false">INDEX(등급!$D$5:$D$12,MATCH($D134,등급!$A$5:$A$12,0))</f>
        <v>0</v>
      </c>
      <c r="L134" s="19" t="str">
        <f aca="false">IF(INDEX(등급!$H$5:$H$12,MATCH($D134,등급!$A$5:$A$12,0))=0,"-",IF(INDEX(등급!$G$5:$G$12,MATCH($D134,등급!$A$5:$A$12,0))=INDEX(등급!$H$5:$H$12,MATCH($D134,등급!$A$5:$A$12,0)),INDEX(등급!$G$5:$G$12,MATCH($D134,등급!$A$5:$A$12,0))&amp;"칸",INDEX(등급!$G$5:$G$12,MATCH($D134,등급!$A$5:$A$12,0))&amp;"~"&amp;INDEX(등급!$H$5:$H$12,MATCH($D134,등급!$A$5:$A$12,0))&amp;"칸"))</f>
        <v>-</v>
      </c>
      <c r="M134" s="19" t="str">
        <f aca="false">IF(INDEX(등급!$J$5:$J$12,MATCH($D134,등급!$A$5:$A$12,0))=0,"-",IF(INDEX(등급!$I$5:$I$12,MATCH($D134,등급!$A$5:$A$12,0))=INDEX(등급!$J$5:$J$12,MATCH($D134,등급!$A$5:$A$12,0)),INDEX(등급!$I$5:$I$12,MATCH($D134,등급!$A$5:$A$12,0))&amp;"개",INDEX(등급!$I$5:$I$12,MATCH($D134,등급!$A$5:$A$12,0))&amp;"~"&amp;INDEX(등급!$J$5:$J$12,MATCH($D134,등급!$A$5:$A$12,0))&amp;"개"))</f>
        <v>-</v>
      </c>
      <c r="N134" s="19" t="str">
        <f aca="false">IF(INDEX(등급!$L$5:$L$12,MATCH($D134,등급!$A$5:$A$12,0))=0,"-",INDEX(등급!$K$5:$K$12,MATCH($D134,등급!$A$5:$A$12,0))&amp;"~"&amp;INDEX(등급!$L$5:$L$12,MATCH($D134,등급!$A$5:$A$12,0))&amp;"개")</f>
        <v>-</v>
      </c>
    </row>
    <row r="135" customFormat="false" ht="15" hidden="false" customHeight="false" outlineLevel="0" collapsed="false">
      <c r="A135" s="19" t="str">
        <f aca="false">장비_기본!B21</f>
        <v>매의 장궁</v>
      </c>
      <c r="B135" s="19" t="str">
        <f aca="false">장비_기본!C21</f>
        <v>무기</v>
      </c>
      <c r="C135" s="19" t="str">
        <f aca="false">장비_기본!D21</f>
        <v>원딜</v>
      </c>
      <c r="D135" s="8" t="s">
        <v>45</v>
      </c>
      <c r="E135" s="19" t="str">
        <f aca="false">장비_기본!F21</f>
        <v>공격력</v>
      </c>
      <c r="F135" s="20" t="n">
        <f aca="false">장비_기본!G21*INDEX(등급!$C$5:$C$12,MATCH($D135,등급!$A$5:$A$12,0))</f>
        <v>6.12</v>
      </c>
      <c r="G135" s="19" t="str">
        <f aca="false">장비_기본!H21</f>
        <v>치명타 확률</v>
      </c>
      <c r="H135" s="21" t="n">
        <f aca="false">장비_기본!I21*INDEX(등급!$C$5:$C$12,MATCH($D135,등급!$A$5:$A$12,0))</f>
        <v>0.0136</v>
      </c>
      <c r="I135" s="19" t="str">
        <f aca="false">장비_기본!J21</f>
        <v>① 관통 사격 취약 지속 +[값]초</v>
      </c>
      <c r="J135" s="20" t="n">
        <f aca="false">ROUND(장비_기본!K21*INDEX(등급!$F$5:$F$12,MATCH($D135,등급!$A$5:$A$12,0)),1)</f>
        <v>0.8</v>
      </c>
      <c r="K135" s="19" t="n">
        <f aca="false">INDEX(등급!$D$5:$D$12,MATCH($D135,등급!$A$5:$A$12,0))</f>
        <v>1</v>
      </c>
      <c r="L135" s="19" t="str">
        <f aca="false">IF(INDEX(등급!$H$5:$H$12,MATCH($D135,등급!$A$5:$A$12,0))=0,"-",IF(INDEX(등급!$G$5:$G$12,MATCH($D135,등급!$A$5:$A$12,0))=INDEX(등급!$H$5:$H$12,MATCH($D135,등급!$A$5:$A$12,0)),INDEX(등급!$G$5:$G$12,MATCH($D135,등급!$A$5:$A$12,0))&amp;"칸",INDEX(등급!$G$5:$G$12,MATCH($D135,등급!$A$5:$A$12,0))&amp;"~"&amp;INDEX(등급!$H$5:$H$12,MATCH($D135,등급!$A$5:$A$12,0))&amp;"칸"))</f>
        <v>-</v>
      </c>
      <c r="M135" s="19" t="str">
        <f aca="false">IF(INDEX(등급!$J$5:$J$12,MATCH($D135,등급!$A$5:$A$12,0))=0,"-",IF(INDEX(등급!$I$5:$I$12,MATCH($D135,등급!$A$5:$A$12,0))=INDEX(등급!$J$5:$J$12,MATCH($D135,등급!$A$5:$A$12,0)),INDEX(등급!$I$5:$I$12,MATCH($D135,등급!$A$5:$A$12,0))&amp;"개",INDEX(등급!$I$5:$I$12,MATCH($D135,등급!$A$5:$A$12,0))&amp;"~"&amp;INDEX(등급!$J$5:$J$12,MATCH($D135,등급!$A$5:$A$12,0))&amp;"개"))</f>
        <v>-</v>
      </c>
      <c r="N135" s="19" t="str">
        <f aca="false">IF(INDEX(등급!$L$5:$L$12,MATCH($D135,등급!$A$5:$A$12,0))=0,"-",INDEX(등급!$K$5:$K$12,MATCH($D135,등급!$A$5:$A$12,0))&amp;"~"&amp;INDEX(등급!$L$5:$L$12,MATCH($D135,등급!$A$5:$A$12,0))&amp;"개")</f>
        <v>-</v>
      </c>
    </row>
    <row r="136" customFormat="false" ht="15" hidden="false" customHeight="false" outlineLevel="0" collapsed="false">
      <c r="A136" s="19" t="str">
        <f aca="false">장비_기본!B21</f>
        <v>매의 장궁</v>
      </c>
      <c r="B136" s="19" t="str">
        <f aca="false">장비_기본!C21</f>
        <v>무기</v>
      </c>
      <c r="C136" s="19" t="str">
        <f aca="false">장비_기본!D21</f>
        <v>원딜</v>
      </c>
      <c r="D136" s="8" t="s">
        <v>46</v>
      </c>
      <c r="E136" s="19" t="str">
        <f aca="false">장비_기본!F21</f>
        <v>공격력</v>
      </c>
      <c r="F136" s="20" t="n">
        <f aca="false">장비_기본!G21*INDEX(등급!$C$5:$C$12,MATCH($D136,등급!$A$5:$A$12,0))</f>
        <v>7.56</v>
      </c>
      <c r="G136" s="19" t="str">
        <f aca="false">장비_기본!H21</f>
        <v>치명타 확률</v>
      </c>
      <c r="H136" s="21" t="n">
        <f aca="false">장비_기본!I21*INDEX(등급!$C$5:$C$12,MATCH($D136,등급!$A$5:$A$12,0))</f>
        <v>0.0168</v>
      </c>
      <c r="I136" s="19" t="str">
        <f aca="false">장비_기본!J21</f>
        <v>① 관통 사격 취약 지속 +[값]초</v>
      </c>
      <c r="J136" s="20" t="n">
        <f aca="false">ROUND(장비_기본!K21*INDEX(등급!$F$5:$F$12,MATCH($D136,등급!$A$5:$A$12,0)),1)</f>
        <v>0.9</v>
      </c>
      <c r="K136" s="19" t="n">
        <f aca="false">INDEX(등급!$D$5:$D$12,MATCH($D136,등급!$A$5:$A$12,0))</f>
        <v>2</v>
      </c>
      <c r="L136" s="19" t="str">
        <f aca="false">IF(INDEX(등급!$H$5:$H$12,MATCH($D136,등급!$A$5:$A$12,0))=0,"-",IF(INDEX(등급!$G$5:$G$12,MATCH($D136,등급!$A$5:$A$12,0))=INDEX(등급!$H$5:$H$12,MATCH($D136,등급!$A$5:$A$12,0)),INDEX(등급!$G$5:$G$12,MATCH($D136,등급!$A$5:$A$12,0))&amp;"칸",INDEX(등급!$G$5:$G$12,MATCH($D136,등급!$A$5:$A$12,0))&amp;"~"&amp;INDEX(등급!$H$5:$H$12,MATCH($D136,등급!$A$5:$A$12,0))&amp;"칸"))</f>
        <v>-</v>
      </c>
      <c r="M136" s="19" t="str">
        <f aca="false">IF(INDEX(등급!$J$5:$J$12,MATCH($D136,등급!$A$5:$A$12,0))=0,"-",IF(INDEX(등급!$I$5:$I$12,MATCH($D136,등급!$A$5:$A$12,0))=INDEX(등급!$J$5:$J$12,MATCH($D136,등급!$A$5:$A$12,0)),INDEX(등급!$I$5:$I$12,MATCH($D136,등급!$A$5:$A$12,0))&amp;"개",INDEX(등급!$I$5:$I$12,MATCH($D136,등급!$A$5:$A$12,0))&amp;"~"&amp;INDEX(등급!$J$5:$J$12,MATCH($D136,등급!$A$5:$A$12,0))&amp;"개"))</f>
        <v>-</v>
      </c>
      <c r="N136" s="19" t="str">
        <f aca="false">IF(INDEX(등급!$L$5:$L$12,MATCH($D136,등급!$A$5:$A$12,0))=0,"-",INDEX(등급!$K$5:$K$12,MATCH($D136,등급!$A$5:$A$12,0))&amp;"~"&amp;INDEX(등급!$L$5:$L$12,MATCH($D136,등급!$A$5:$A$12,0))&amp;"개")</f>
        <v>-</v>
      </c>
    </row>
    <row r="137" customFormat="false" ht="15" hidden="false" customHeight="false" outlineLevel="0" collapsed="false">
      <c r="A137" s="19" t="str">
        <f aca="false">장비_기본!B21</f>
        <v>매의 장궁</v>
      </c>
      <c r="B137" s="19" t="str">
        <f aca="false">장비_기본!C21</f>
        <v>무기</v>
      </c>
      <c r="C137" s="19" t="str">
        <f aca="false">장비_기본!D21</f>
        <v>원딜</v>
      </c>
      <c r="D137" s="8" t="s">
        <v>47</v>
      </c>
      <c r="E137" s="19" t="str">
        <f aca="false">장비_기본!F21</f>
        <v>공격력</v>
      </c>
      <c r="F137" s="20" t="n">
        <f aca="false">장비_기본!G21*INDEX(등급!$C$5:$C$12,MATCH($D137,등급!$A$5:$A$12,0))</f>
        <v>9.18</v>
      </c>
      <c r="G137" s="19" t="str">
        <f aca="false">장비_기본!H21</f>
        <v>치명타 확률</v>
      </c>
      <c r="H137" s="21" t="n">
        <f aca="false">장비_기본!I21*INDEX(등급!$C$5:$C$12,MATCH($D137,등급!$A$5:$A$12,0))</f>
        <v>0.0204</v>
      </c>
      <c r="I137" s="19" t="str">
        <f aca="false">장비_기본!J21</f>
        <v>① 관통 사격 취약 지속 +[값]초</v>
      </c>
      <c r="J137" s="20" t="n">
        <f aca="false">ROUND(장비_기본!K21*INDEX(등급!$F$5:$F$12,MATCH($D137,등급!$A$5:$A$12,0)),1)</f>
        <v>1</v>
      </c>
      <c r="K137" s="19" t="n">
        <f aca="false">INDEX(등급!$D$5:$D$12,MATCH($D137,등급!$A$5:$A$12,0))</f>
        <v>3</v>
      </c>
      <c r="L137" s="19" t="str">
        <f aca="false">IF(INDEX(등급!$H$5:$H$12,MATCH($D137,등급!$A$5:$A$12,0))=0,"-",IF(INDEX(등급!$G$5:$G$12,MATCH($D137,등급!$A$5:$A$12,0))=INDEX(등급!$H$5:$H$12,MATCH($D137,등급!$A$5:$A$12,0)),INDEX(등급!$G$5:$G$12,MATCH($D137,등급!$A$5:$A$12,0))&amp;"칸",INDEX(등급!$G$5:$G$12,MATCH($D137,등급!$A$5:$A$12,0))&amp;"~"&amp;INDEX(등급!$H$5:$H$12,MATCH($D137,등급!$A$5:$A$12,0))&amp;"칸"))</f>
        <v>-</v>
      </c>
      <c r="M137" s="19" t="str">
        <f aca="false">IF(INDEX(등급!$J$5:$J$12,MATCH($D137,등급!$A$5:$A$12,0))=0,"-",IF(INDEX(등급!$I$5:$I$12,MATCH($D137,등급!$A$5:$A$12,0))=INDEX(등급!$J$5:$J$12,MATCH($D137,등급!$A$5:$A$12,0)),INDEX(등급!$I$5:$I$12,MATCH($D137,등급!$A$5:$A$12,0))&amp;"개",INDEX(등급!$I$5:$I$12,MATCH($D137,등급!$A$5:$A$12,0))&amp;"~"&amp;INDEX(등급!$J$5:$J$12,MATCH($D137,등급!$A$5:$A$12,0))&amp;"개"))</f>
        <v>-</v>
      </c>
      <c r="N137" s="19" t="str">
        <f aca="false">IF(INDEX(등급!$L$5:$L$12,MATCH($D137,등급!$A$5:$A$12,0))=0,"-",INDEX(등급!$K$5:$K$12,MATCH($D137,등급!$A$5:$A$12,0))&amp;"~"&amp;INDEX(등급!$L$5:$L$12,MATCH($D137,등급!$A$5:$A$12,0))&amp;"개")</f>
        <v>-</v>
      </c>
    </row>
    <row r="138" customFormat="false" ht="15" hidden="false" customHeight="false" outlineLevel="0" collapsed="false">
      <c r="A138" s="19" t="str">
        <f aca="false">장비_기본!B21</f>
        <v>매의 장궁</v>
      </c>
      <c r="B138" s="19" t="str">
        <f aca="false">장비_기본!C21</f>
        <v>무기</v>
      </c>
      <c r="C138" s="19" t="str">
        <f aca="false">장비_기본!D21</f>
        <v>원딜</v>
      </c>
      <c r="D138" s="8" t="s">
        <v>48</v>
      </c>
      <c r="E138" s="19" t="str">
        <f aca="false">장비_기본!F21</f>
        <v>공격력</v>
      </c>
      <c r="F138" s="20" t="n">
        <f aca="false">장비_기본!G21*INDEX(등급!$C$5:$C$12,MATCH($D138,등급!$A$5:$A$12,0))</f>
        <v>10.98</v>
      </c>
      <c r="G138" s="19" t="str">
        <f aca="false">장비_기본!H21</f>
        <v>치명타 확률</v>
      </c>
      <c r="H138" s="21" t="n">
        <f aca="false">장비_기본!I21*INDEX(등급!$C$5:$C$12,MATCH($D138,등급!$A$5:$A$12,0))</f>
        <v>0.0244</v>
      </c>
      <c r="I138" s="19" t="str">
        <f aca="false">장비_기본!J21</f>
        <v>① 관통 사격 취약 지속 +[값]초</v>
      </c>
      <c r="J138" s="20" t="n">
        <f aca="false">ROUND(장비_기본!K21*INDEX(등급!$F$5:$F$12,MATCH($D138,등급!$A$5:$A$12,0)),1)</f>
        <v>1.2</v>
      </c>
      <c r="K138" s="19" t="n">
        <f aca="false">INDEX(등급!$D$5:$D$12,MATCH($D138,등급!$A$5:$A$12,0))</f>
        <v>4</v>
      </c>
      <c r="L138" s="19" t="str">
        <f aca="false">IF(INDEX(등급!$H$5:$H$12,MATCH($D138,등급!$A$5:$A$12,0))=0,"-",IF(INDEX(등급!$G$5:$G$12,MATCH($D138,등급!$A$5:$A$12,0))=INDEX(등급!$H$5:$H$12,MATCH($D138,등급!$A$5:$A$12,0)),INDEX(등급!$G$5:$G$12,MATCH($D138,등급!$A$5:$A$12,0))&amp;"칸",INDEX(등급!$G$5:$G$12,MATCH($D138,등급!$A$5:$A$12,0))&amp;"~"&amp;INDEX(등급!$H$5:$H$12,MATCH($D138,등급!$A$5:$A$12,0))&amp;"칸"))</f>
        <v>-</v>
      </c>
      <c r="M138" s="19" t="str">
        <f aca="false">IF(INDEX(등급!$J$5:$J$12,MATCH($D138,등급!$A$5:$A$12,0))=0,"-",IF(INDEX(등급!$I$5:$I$12,MATCH($D138,등급!$A$5:$A$12,0))=INDEX(등급!$J$5:$J$12,MATCH($D138,등급!$A$5:$A$12,0)),INDEX(등급!$I$5:$I$12,MATCH($D138,등급!$A$5:$A$12,0))&amp;"개",INDEX(등급!$I$5:$I$12,MATCH($D138,등급!$A$5:$A$12,0))&amp;"~"&amp;INDEX(등급!$J$5:$J$12,MATCH($D138,등급!$A$5:$A$12,0))&amp;"개"))</f>
        <v>-</v>
      </c>
      <c r="N138" s="19" t="str">
        <f aca="false">IF(INDEX(등급!$L$5:$L$12,MATCH($D138,등급!$A$5:$A$12,0))=0,"-",INDEX(등급!$K$5:$K$12,MATCH($D138,등급!$A$5:$A$12,0))&amp;"~"&amp;INDEX(등급!$L$5:$L$12,MATCH($D138,등급!$A$5:$A$12,0))&amp;"개")</f>
        <v>-</v>
      </c>
    </row>
    <row r="139" customFormat="false" ht="15" hidden="false" customHeight="false" outlineLevel="0" collapsed="false">
      <c r="A139" s="19" t="str">
        <f aca="false">장비_기본!B21</f>
        <v>매의 장궁</v>
      </c>
      <c r="B139" s="19" t="str">
        <f aca="false">장비_기본!C21</f>
        <v>무기</v>
      </c>
      <c r="C139" s="19" t="str">
        <f aca="false">장비_기본!D21</f>
        <v>원딜</v>
      </c>
      <c r="D139" s="8" t="s">
        <v>49</v>
      </c>
      <c r="E139" s="19" t="str">
        <f aca="false">장비_기본!F21</f>
        <v>공격력</v>
      </c>
      <c r="F139" s="20" t="n">
        <f aca="false">장비_기본!G21*INDEX(등급!$C$5:$C$12,MATCH($D139,등급!$A$5:$A$12,0))</f>
        <v>11.52</v>
      </c>
      <c r="G139" s="19" t="str">
        <f aca="false">장비_기본!H21</f>
        <v>치명타 확률</v>
      </c>
      <c r="H139" s="21" t="n">
        <f aca="false">장비_기본!I21*INDEX(등급!$C$5:$C$12,MATCH($D139,등급!$A$5:$A$12,0))</f>
        <v>0.0256</v>
      </c>
      <c r="I139" s="19" t="str">
        <f aca="false">장비_기본!J21</f>
        <v>① 관통 사격 취약 지속 +[값]초</v>
      </c>
      <c r="J139" s="20" t="n">
        <f aca="false">ROUND(장비_기본!K21*INDEX(등급!$F$5:$F$12,MATCH($D139,등급!$A$5:$A$12,0)),1)</f>
        <v>1.3</v>
      </c>
      <c r="K139" s="19" t="n">
        <f aca="false">INDEX(등급!$D$5:$D$12,MATCH($D139,등급!$A$5:$A$12,0))</f>
        <v>4</v>
      </c>
      <c r="L139" s="19" t="str">
        <f aca="false">IF(INDEX(등급!$H$5:$H$12,MATCH($D139,등급!$A$5:$A$12,0))=0,"-",IF(INDEX(등급!$G$5:$G$12,MATCH($D139,등급!$A$5:$A$12,0))=INDEX(등급!$H$5:$H$12,MATCH($D139,등급!$A$5:$A$12,0)),INDEX(등급!$G$5:$G$12,MATCH($D139,등급!$A$5:$A$12,0))&amp;"칸",INDEX(등급!$G$5:$G$12,MATCH($D139,등급!$A$5:$A$12,0))&amp;"~"&amp;INDEX(등급!$H$5:$H$12,MATCH($D139,등급!$A$5:$A$12,0))&amp;"칸"))</f>
        <v>1칸</v>
      </c>
      <c r="M139" s="19" t="str">
        <f aca="false">IF(INDEX(등급!$J$5:$J$12,MATCH($D139,등급!$A$5:$A$12,0))=0,"-",IF(INDEX(등급!$I$5:$I$12,MATCH($D139,등급!$A$5:$A$12,0))=INDEX(등급!$J$5:$J$12,MATCH($D139,등급!$A$5:$A$12,0)),INDEX(등급!$I$5:$I$12,MATCH($D139,등급!$A$5:$A$12,0))&amp;"개",INDEX(등급!$I$5:$I$12,MATCH($D139,등급!$A$5:$A$12,0))&amp;"~"&amp;INDEX(등급!$J$5:$J$12,MATCH($D139,등급!$A$5:$A$12,0))&amp;"개"))</f>
        <v>0~1개</v>
      </c>
      <c r="N139" s="19" t="str">
        <f aca="false">IF(INDEX(등급!$L$5:$L$12,MATCH($D139,등급!$A$5:$A$12,0))=0,"-",INDEX(등급!$K$5:$K$12,MATCH($D139,등급!$A$5:$A$12,0))&amp;"~"&amp;INDEX(등급!$L$5:$L$12,MATCH($D139,등급!$A$5:$A$12,0))&amp;"개")</f>
        <v>0~1개</v>
      </c>
    </row>
    <row r="140" customFormat="false" ht="15" hidden="false" customHeight="false" outlineLevel="0" collapsed="false">
      <c r="A140" s="19" t="str">
        <f aca="false">장비_기본!B21</f>
        <v>매의 장궁</v>
      </c>
      <c r="B140" s="19" t="str">
        <f aca="false">장비_기본!C21</f>
        <v>무기</v>
      </c>
      <c r="C140" s="19" t="str">
        <f aca="false">장비_기본!D21</f>
        <v>원딜</v>
      </c>
      <c r="D140" s="8" t="s">
        <v>51</v>
      </c>
      <c r="E140" s="19" t="str">
        <f aca="false">장비_기본!F21</f>
        <v>공격력</v>
      </c>
      <c r="F140" s="20" t="n">
        <f aca="false">장비_기본!G21*INDEX(등급!$C$5:$C$12,MATCH($D140,등급!$A$5:$A$12,0))</f>
        <v>11.88</v>
      </c>
      <c r="G140" s="19" t="str">
        <f aca="false">장비_기본!H21</f>
        <v>치명타 확률</v>
      </c>
      <c r="H140" s="21" t="n">
        <f aca="false">장비_기본!I21*INDEX(등급!$C$5:$C$12,MATCH($D140,등급!$A$5:$A$12,0))</f>
        <v>0.0264</v>
      </c>
      <c r="I140" s="19" t="str">
        <f aca="false">장비_기본!J21</f>
        <v>① 관통 사격 취약 지속 +[값]초</v>
      </c>
      <c r="J140" s="20" t="n">
        <f aca="false">ROUND(장비_기본!K21*INDEX(등급!$F$5:$F$12,MATCH($D140,등급!$A$5:$A$12,0)),1)</f>
        <v>1.5</v>
      </c>
      <c r="K140" s="19" t="n">
        <f aca="false">INDEX(등급!$D$5:$D$12,MATCH($D140,등급!$A$5:$A$12,0))</f>
        <v>4</v>
      </c>
      <c r="L140" s="19" t="str">
        <f aca="false">IF(INDEX(등급!$H$5:$H$12,MATCH($D140,등급!$A$5:$A$12,0))=0,"-",IF(INDEX(등급!$G$5:$G$12,MATCH($D140,등급!$A$5:$A$12,0))=INDEX(등급!$H$5:$H$12,MATCH($D140,등급!$A$5:$A$12,0)),INDEX(등급!$G$5:$G$12,MATCH($D140,등급!$A$5:$A$12,0))&amp;"칸",INDEX(등급!$G$5:$G$12,MATCH($D140,등급!$A$5:$A$12,0))&amp;"~"&amp;INDEX(등급!$H$5:$H$12,MATCH($D140,등급!$A$5:$A$12,0))&amp;"칸"))</f>
        <v>1~3칸</v>
      </c>
      <c r="M140" s="19" t="str">
        <f aca="false">IF(INDEX(등급!$J$5:$J$12,MATCH($D140,등급!$A$5:$A$12,0))=0,"-",IF(INDEX(등급!$I$5:$I$12,MATCH($D140,등급!$A$5:$A$12,0))=INDEX(등급!$J$5:$J$12,MATCH($D140,등급!$A$5:$A$12,0)),INDEX(등급!$I$5:$I$12,MATCH($D140,등급!$A$5:$A$12,0))&amp;"개",INDEX(등급!$I$5:$I$12,MATCH($D140,등급!$A$5:$A$12,0))&amp;"~"&amp;INDEX(등급!$J$5:$J$12,MATCH($D140,등급!$A$5:$A$12,0))&amp;"개"))</f>
        <v>1개</v>
      </c>
      <c r="N140" s="19" t="str">
        <f aca="false">IF(INDEX(등급!$L$5:$L$12,MATCH($D140,등급!$A$5:$A$12,0))=0,"-",INDEX(등급!$K$5:$K$12,MATCH($D140,등급!$A$5:$A$12,0))&amp;"~"&amp;INDEX(등급!$L$5:$L$12,MATCH($D140,등급!$A$5:$A$12,0))&amp;"개")</f>
        <v>0~2개</v>
      </c>
    </row>
    <row r="141" customFormat="false" ht="15" hidden="false" customHeight="false" outlineLevel="0" collapsed="false">
      <c r="A141" s="19" t="str">
        <f aca="false">장비_기본!B22</f>
        <v>폭풍의 연궁</v>
      </c>
      <c r="B141" s="19" t="str">
        <f aca="false">장비_기본!C22</f>
        <v>무기</v>
      </c>
      <c r="C141" s="19" t="str">
        <f aca="false">장비_기본!D22</f>
        <v>원딜</v>
      </c>
      <c r="D141" s="8" t="s">
        <v>43</v>
      </c>
      <c r="E141" s="19" t="str">
        <f aca="false">장비_기본!F22</f>
        <v>공격력</v>
      </c>
      <c r="F141" s="20" t="n">
        <f aca="false">장비_기본!G22*INDEX(등급!$C$5:$C$12,MATCH($D141,등급!$A$5:$A$12,0))</f>
        <v>3.6</v>
      </c>
      <c r="G141" s="19" t="str">
        <f aca="false">장비_기본!H22</f>
        <v>치명타 확률</v>
      </c>
      <c r="H141" s="21" t="n">
        <f aca="false">장비_기본!I22*INDEX(등급!$C$5:$C$12,MATCH($D141,등급!$A$5:$A$12,0))</f>
        <v>0.008</v>
      </c>
      <c r="I141" s="19" t="str">
        <f aca="false">장비_기본!J22</f>
        <v>평타 [값]% 확률로 2연사</v>
      </c>
      <c r="J141" s="20" t="n">
        <f aca="false">ROUND(장비_기본!K22*INDEX(등급!$F$5:$F$12,MATCH($D141,등급!$A$5:$A$12,0)),1)</f>
        <v>6</v>
      </c>
      <c r="K141" s="19" t="n">
        <f aca="false">INDEX(등급!$D$5:$D$12,MATCH($D141,등급!$A$5:$A$12,0))</f>
        <v>0</v>
      </c>
      <c r="L141" s="19" t="str">
        <f aca="false">IF(INDEX(등급!$H$5:$H$12,MATCH($D141,등급!$A$5:$A$12,0))=0,"-",IF(INDEX(등급!$G$5:$G$12,MATCH($D141,등급!$A$5:$A$12,0))=INDEX(등급!$H$5:$H$12,MATCH($D141,등급!$A$5:$A$12,0)),INDEX(등급!$G$5:$G$12,MATCH($D141,등급!$A$5:$A$12,0))&amp;"칸",INDEX(등급!$G$5:$G$12,MATCH($D141,등급!$A$5:$A$12,0))&amp;"~"&amp;INDEX(등급!$H$5:$H$12,MATCH($D141,등급!$A$5:$A$12,0))&amp;"칸"))</f>
        <v>-</v>
      </c>
      <c r="M141" s="19" t="str">
        <f aca="false">IF(INDEX(등급!$J$5:$J$12,MATCH($D141,등급!$A$5:$A$12,0))=0,"-",IF(INDEX(등급!$I$5:$I$12,MATCH($D141,등급!$A$5:$A$12,0))=INDEX(등급!$J$5:$J$12,MATCH($D141,등급!$A$5:$A$12,0)),INDEX(등급!$I$5:$I$12,MATCH($D141,등급!$A$5:$A$12,0))&amp;"개",INDEX(등급!$I$5:$I$12,MATCH($D141,등급!$A$5:$A$12,0))&amp;"~"&amp;INDEX(등급!$J$5:$J$12,MATCH($D141,등급!$A$5:$A$12,0))&amp;"개"))</f>
        <v>-</v>
      </c>
      <c r="N141" s="19" t="str">
        <f aca="false">IF(INDEX(등급!$L$5:$L$12,MATCH($D141,등급!$A$5:$A$12,0))=0,"-",INDEX(등급!$K$5:$K$12,MATCH($D141,등급!$A$5:$A$12,0))&amp;"~"&amp;INDEX(등급!$L$5:$L$12,MATCH($D141,등급!$A$5:$A$12,0))&amp;"개")</f>
        <v>-</v>
      </c>
    </row>
    <row r="142" customFormat="false" ht="15" hidden="false" customHeight="false" outlineLevel="0" collapsed="false">
      <c r="A142" s="19" t="str">
        <f aca="false">장비_기본!B22</f>
        <v>폭풍의 연궁</v>
      </c>
      <c r="B142" s="19" t="str">
        <f aca="false">장비_기본!C22</f>
        <v>무기</v>
      </c>
      <c r="C142" s="19" t="str">
        <f aca="false">장비_기본!D22</f>
        <v>원딜</v>
      </c>
      <c r="D142" s="8" t="s">
        <v>44</v>
      </c>
      <c r="E142" s="19" t="str">
        <f aca="false">장비_기본!F22</f>
        <v>공격력</v>
      </c>
      <c r="F142" s="20" t="n">
        <f aca="false">장비_기본!G22*INDEX(등급!$C$5:$C$12,MATCH($D142,등급!$A$5:$A$12,0))</f>
        <v>5.22</v>
      </c>
      <c r="G142" s="19" t="str">
        <f aca="false">장비_기본!H22</f>
        <v>치명타 확률</v>
      </c>
      <c r="H142" s="21" t="n">
        <f aca="false">장비_기본!I22*INDEX(등급!$C$5:$C$12,MATCH($D142,등급!$A$5:$A$12,0))</f>
        <v>0.0116</v>
      </c>
      <c r="I142" s="19" t="str">
        <f aca="false">장비_기본!J22</f>
        <v>평타 [값]% 확률로 2연사</v>
      </c>
      <c r="J142" s="20" t="n">
        <f aca="false">ROUND(장비_기본!K22*INDEX(등급!$F$5:$F$12,MATCH($D142,등급!$A$5:$A$12,0)),1)</f>
        <v>8.1</v>
      </c>
      <c r="K142" s="19" t="n">
        <f aca="false">INDEX(등급!$D$5:$D$12,MATCH($D142,등급!$A$5:$A$12,0))</f>
        <v>0</v>
      </c>
      <c r="L142" s="19" t="str">
        <f aca="false">IF(INDEX(등급!$H$5:$H$12,MATCH($D142,등급!$A$5:$A$12,0))=0,"-",IF(INDEX(등급!$G$5:$G$12,MATCH($D142,등급!$A$5:$A$12,0))=INDEX(등급!$H$5:$H$12,MATCH($D142,등급!$A$5:$A$12,0)),INDEX(등급!$G$5:$G$12,MATCH($D142,등급!$A$5:$A$12,0))&amp;"칸",INDEX(등급!$G$5:$G$12,MATCH($D142,등급!$A$5:$A$12,0))&amp;"~"&amp;INDEX(등급!$H$5:$H$12,MATCH($D142,등급!$A$5:$A$12,0))&amp;"칸"))</f>
        <v>-</v>
      </c>
      <c r="M142" s="19" t="str">
        <f aca="false">IF(INDEX(등급!$J$5:$J$12,MATCH($D142,등급!$A$5:$A$12,0))=0,"-",IF(INDEX(등급!$I$5:$I$12,MATCH($D142,등급!$A$5:$A$12,0))=INDEX(등급!$J$5:$J$12,MATCH($D142,등급!$A$5:$A$12,0)),INDEX(등급!$I$5:$I$12,MATCH($D142,등급!$A$5:$A$12,0))&amp;"개",INDEX(등급!$I$5:$I$12,MATCH($D142,등급!$A$5:$A$12,0))&amp;"~"&amp;INDEX(등급!$J$5:$J$12,MATCH($D142,등급!$A$5:$A$12,0))&amp;"개"))</f>
        <v>-</v>
      </c>
      <c r="N142" s="19" t="str">
        <f aca="false">IF(INDEX(등급!$L$5:$L$12,MATCH($D142,등급!$A$5:$A$12,0))=0,"-",INDEX(등급!$K$5:$K$12,MATCH($D142,등급!$A$5:$A$12,0))&amp;"~"&amp;INDEX(등급!$L$5:$L$12,MATCH($D142,등급!$A$5:$A$12,0))&amp;"개")</f>
        <v>-</v>
      </c>
    </row>
    <row r="143" customFormat="false" ht="15" hidden="false" customHeight="false" outlineLevel="0" collapsed="false">
      <c r="A143" s="19" t="str">
        <f aca="false">장비_기본!B22</f>
        <v>폭풍의 연궁</v>
      </c>
      <c r="B143" s="19" t="str">
        <f aca="false">장비_기본!C22</f>
        <v>무기</v>
      </c>
      <c r="C143" s="19" t="str">
        <f aca="false">장비_기본!D22</f>
        <v>원딜</v>
      </c>
      <c r="D143" s="8" t="s">
        <v>45</v>
      </c>
      <c r="E143" s="19" t="str">
        <f aca="false">장비_기본!F22</f>
        <v>공격력</v>
      </c>
      <c r="F143" s="20" t="n">
        <f aca="false">장비_기본!G22*INDEX(등급!$C$5:$C$12,MATCH($D143,등급!$A$5:$A$12,0))</f>
        <v>6.12</v>
      </c>
      <c r="G143" s="19" t="str">
        <f aca="false">장비_기본!H22</f>
        <v>치명타 확률</v>
      </c>
      <c r="H143" s="21" t="n">
        <f aca="false">장비_기본!I22*INDEX(등급!$C$5:$C$12,MATCH($D143,등급!$A$5:$A$12,0))</f>
        <v>0.0136</v>
      </c>
      <c r="I143" s="19" t="str">
        <f aca="false">장비_기본!J22</f>
        <v>평타 [값]% 확률로 2연사</v>
      </c>
      <c r="J143" s="20" t="n">
        <f aca="false">ROUND(장비_기본!K22*INDEX(등급!$F$5:$F$12,MATCH($D143,등급!$A$5:$A$12,0)),1)</f>
        <v>9</v>
      </c>
      <c r="K143" s="19" t="n">
        <f aca="false">INDEX(등급!$D$5:$D$12,MATCH($D143,등급!$A$5:$A$12,0))</f>
        <v>1</v>
      </c>
      <c r="L143" s="19" t="str">
        <f aca="false">IF(INDEX(등급!$H$5:$H$12,MATCH($D143,등급!$A$5:$A$12,0))=0,"-",IF(INDEX(등급!$G$5:$G$12,MATCH($D143,등급!$A$5:$A$12,0))=INDEX(등급!$H$5:$H$12,MATCH($D143,등급!$A$5:$A$12,0)),INDEX(등급!$G$5:$G$12,MATCH($D143,등급!$A$5:$A$12,0))&amp;"칸",INDEX(등급!$G$5:$G$12,MATCH($D143,등급!$A$5:$A$12,0))&amp;"~"&amp;INDEX(등급!$H$5:$H$12,MATCH($D143,등급!$A$5:$A$12,0))&amp;"칸"))</f>
        <v>-</v>
      </c>
      <c r="M143" s="19" t="str">
        <f aca="false">IF(INDEX(등급!$J$5:$J$12,MATCH($D143,등급!$A$5:$A$12,0))=0,"-",IF(INDEX(등급!$I$5:$I$12,MATCH($D143,등급!$A$5:$A$12,0))=INDEX(등급!$J$5:$J$12,MATCH($D143,등급!$A$5:$A$12,0)),INDEX(등급!$I$5:$I$12,MATCH($D143,등급!$A$5:$A$12,0))&amp;"개",INDEX(등급!$I$5:$I$12,MATCH($D143,등급!$A$5:$A$12,0))&amp;"~"&amp;INDEX(등급!$J$5:$J$12,MATCH($D143,등급!$A$5:$A$12,0))&amp;"개"))</f>
        <v>-</v>
      </c>
      <c r="N143" s="19" t="str">
        <f aca="false">IF(INDEX(등급!$L$5:$L$12,MATCH($D143,등급!$A$5:$A$12,0))=0,"-",INDEX(등급!$K$5:$K$12,MATCH($D143,등급!$A$5:$A$12,0))&amp;"~"&amp;INDEX(등급!$L$5:$L$12,MATCH($D143,등급!$A$5:$A$12,0))&amp;"개")</f>
        <v>-</v>
      </c>
    </row>
    <row r="144" customFormat="false" ht="15" hidden="false" customHeight="false" outlineLevel="0" collapsed="false">
      <c r="A144" s="19" t="str">
        <f aca="false">장비_기본!B22</f>
        <v>폭풍의 연궁</v>
      </c>
      <c r="B144" s="19" t="str">
        <f aca="false">장비_기본!C22</f>
        <v>무기</v>
      </c>
      <c r="C144" s="19" t="str">
        <f aca="false">장비_기본!D22</f>
        <v>원딜</v>
      </c>
      <c r="D144" s="8" t="s">
        <v>46</v>
      </c>
      <c r="E144" s="19" t="str">
        <f aca="false">장비_기본!F22</f>
        <v>공격력</v>
      </c>
      <c r="F144" s="20" t="n">
        <f aca="false">장비_기본!G22*INDEX(등급!$C$5:$C$12,MATCH($D144,등급!$A$5:$A$12,0))</f>
        <v>7.56</v>
      </c>
      <c r="G144" s="19" t="str">
        <f aca="false">장비_기본!H22</f>
        <v>치명타 확률</v>
      </c>
      <c r="H144" s="21" t="n">
        <f aca="false">장비_기본!I22*INDEX(등급!$C$5:$C$12,MATCH($D144,등급!$A$5:$A$12,0))</f>
        <v>0.0168</v>
      </c>
      <c r="I144" s="19" t="str">
        <f aca="false">장비_기본!J22</f>
        <v>평타 [값]% 확률로 2연사</v>
      </c>
      <c r="J144" s="20" t="n">
        <f aca="false">ROUND(장비_기본!K22*INDEX(등급!$F$5:$F$12,MATCH($D144,등급!$A$5:$A$12,0)),1)</f>
        <v>10.5</v>
      </c>
      <c r="K144" s="19" t="n">
        <f aca="false">INDEX(등급!$D$5:$D$12,MATCH($D144,등급!$A$5:$A$12,0))</f>
        <v>2</v>
      </c>
      <c r="L144" s="19" t="str">
        <f aca="false">IF(INDEX(등급!$H$5:$H$12,MATCH($D144,등급!$A$5:$A$12,0))=0,"-",IF(INDEX(등급!$G$5:$G$12,MATCH($D144,등급!$A$5:$A$12,0))=INDEX(등급!$H$5:$H$12,MATCH($D144,등급!$A$5:$A$12,0)),INDEX(등급!$G$5:$G$12,MATCH($D144,등급!$A$5:$A$12,0))&amp;"칸",INDEX(등급!$G$5:$G$12,MATCH($D144,등급!$A$5:$A$12,0))&amp;"~"&amp;INDEX(등급!$H$5:$H$12,MATCH($D144,등급!$A$5:$A$12,0))&amp;"칸"))</f>
        <v>-</v>
      </c>
      <c r="M144" s="19" t="str">
        <f aca="false">IF(INDEX(등급!$J$5:$J$12,MATCH($D144,등급!$A$5:$A$12,0))=0,"-",IF(INDEX(등급!$I$5:$I$12,MATCH($D144,등급!$A$5:$A$12,0))=INDEX(등급!$J$5:$J$12,MATCH($D144,등급!$A$5:$A$12,0)),INDEX(등급!$I$5:$I$12,MATCH($D144,등급!$A$5:$A$12,0))&amp;"개",INDEX(등급!$I$5:$I$12,MATCH($D144,등급!$A$5:$A$12,0))&amp;"~"&amp;INDEX(등급!$J$5:$J$12,MATCH($D144,등급!$A$5:$A$12,0))&amp;"개"))</f>
        <v>-</v>
      </c>
      <c r="N144" s="19" t="str">
        <f aca="false">IF(INDEX(등급!$L$5:$L$12,MATCH($D144,등급!$A$5:$A$12,0))=0,"-",INDEX(등급!$K$5:$K$12,MATCH($D144,등급!$A$5:$A$12,0))&amp;"~"&amp;INDEX(등급!$L$5:$L$12,MATCH($D144,등급!$A$5:$A$12,0))&amp;"개")</f>
        <v>-</v>
      </c>
    </row>
    <row r="145" customFormat="false" ht="15" hidden="false" customHeight="false" outlineLevel="0" collapsed="false">
      <c r="A145" s="19" t="str">
        <f aca="false">장비_기본!B22</f>
        <v>폭풍의 연궁</v>
      </c>
      <c r="B145" s="19" t="str">
        <f aca="false">장비_기본!C22</f>
        <v>무기</v>
      </c>
      <c r="C145" s="19" t="str">
        <f aca="false">장비_기본!D22</f>
        <v>원딜</v>
      </c>
      <c r="D145" s="8" t="s">
        <v>47</v>
      </c>
      <c r="E145" s="19" t="str">
        <f aca="false">장비_기본!F22</f>
        <v>공격력</v>
      </c>
      <c r="F145" s="20" t="n">
        <f aca="false">장비_기본!G22*INDEX(등급!$C$5:$C$12,MATCH($D145,등급!$A$5:$A$12,0))</f>
        <v>9.18</v>
      </c>
      <c r="G145" s="19" t="str">
        <f aca="false">장비_기본!H22</f>
        <v>치명타 확률</v>
      </c>
      <c r="H145" s="21" t="n">
        <f aca="false">장비_기본!I22*INDEX(등급!$C$5:$C$12,MATCH($D145,등급!$A$5:$A$12,0))</f>
        <v>0.0204</v>
      </c>
      <c r="I145" s="19" t="str">
        <f aca="false">장비_기본!J22</f>
        <v>평타 [값]% 확률로 2연사</v>
      </c>
      <c r="J145" s="20" t="n">
        <f aca="false">ROUND(장비_기본!K22*INDEX(등급!$F$5:$F$12,MATCH($D145,등급!$A$5:$A$12,0)),1)</f>
        <v>12</v>
      </c>
      <c r="K145" s="19" t="n">
        <f aca="false">INDEX(등급!$D$5:$D$12,MATCH($D145,등급!$A$5:$A$12,0))</f>
        <v>3</v>
      </c>
      <c r="L145" s="19" t="str">
        <f aca="false">IF(INDEX(등급!$H$5:$H$12,MATCH($D145,등급!$A$5:$A$12,0))=0,"-",IF(INDEX(등급!$G$5:$G$12,MATCH($D145,등급!$A$5:$A$12,0))=INDEX(등급!$H$5:$H$12,MATCH($D145,등급!$A$5:$A$12,0)),INDEX(등급!$G$5:$G$12,MATCH($D145,등급!$A$5:$A$12,0))&amp;"칸",INDEX(등급!$G$5:$G$12,MATCH($D145,등급!$A$5:$A$12,0))&amp;"~"&amp;INDEX(등급!$H$5:$H$12,MATCH($D145,등급!$A$5:$A$12,0))&amp;"칸"))</f>
        <v>-</v>
      </c>
      <c r="M145" s="19" t="str">
        <f aca="false">IF(INDEX(등급!$J$5:$J$12,MATCH($D145,등급!$A$5:$A$12,0))=0,"-",IF(INDEX(등급!$I$5:$I$12,MATCH($D145,등급!$A$5:$A$12,0))=INDEX(등급!$J$5:$J$12,MATCH($D145,등급!$A$5:$A$12,0)),INDEX(등급!$I$5:$I$12,MATCH($D145,등급!$A$5:$A$12,0))&amp;"개",INDEX(등급!$I$5:$I$12,MATCH($D145,등급!$A$5:$A$12,0))&amp;"~"&amp;INDEX(등급!$J$5:$J$12,MATCH($D145,등급!$A$5:$A$12,0))&amp;"개"))</f>
        <v>-</v>
      </c>
      <c r="N145" s="19" t="str">
        <f aca="false">IF(INDEX(등급!$L$5:$L$12,MATCH($D145,등급!$A$5:$A$12,0))=0,"-",INDEX(등급!$K$5:$K$12,MATCH($D145,등급!$A$5:$A$12,0))&amp;"~"&amp;INDEX(등급!$L$5:$L$12,MATCH($D145,등급!$A$5:$A$12,0))&amp;"개")</f>
        <v>-</v>
      </c>
    </row>
    <row r="146" customFormat="false" ht="15" hidden="false" customHeight="false" outlineLevel="0" collapsed="false">
      <c r="A146" s="19" t="str">
        <f aca="false">장비_기본!B22</f>
        <v>폭풍의 연궁</v>
      </c>
      <c r="B146" s="19" t="str">
        <f aca="false">장비_기본!C22</f>
        <v>무기</v>
      </c>
      <c r="C146" s="19" t="str">
        <f aca="false">장비_기본!D22</f>
        <v>원딜</v>
      </c>
      <c r="D146" s="8" t="s">
        <v>48</v>
      </c>
      <c r="E146" s="19" t="str">
        <f aca="false">장비_기본!F22</f>
        <v>공격력</v>
      </c>
      <c r="F146" s="20" t="n">
        <f aca="false">장비_기본!G22*INDEX(등급!$C$5:$C$12,MATCH($D146,등급!$A$5:$A$12,0))</f>
        <v>10.98</v>
      </c>
      <c r="G146" s="19" t="str">
        <f aca="false">장비_기본!H22</f>
        <v>치명타 확률</v>
      </c>
      <c r="H146" s="21" t="n">
        <f aca="false">장비_기본!I22*INDEX(등급!$C$5:$C$12,MATCH($D146,등급!$A$5:$A$12,0))</f>
        <v>0.0244</v>
      </c>
      <c r="I146" s="19" t="str">
        <f aca="false">장비_기본!J22</f>
        <v>평타 [값]% 확률로 2연사</v>
      </c>
      <c r="J146" s="20" t="n">
        <f aca="false">ROUND(장비_기본!K22*INDEX(등급!$F$5:$F$12,MATCH($D146,등급!$A$5:$A$12,0)),1)</f>
        <v>13.8</v>
      </c>
      <c r="K146" s="19" t="n">
        <f aca="false">INDEX(등급!$D$5:$D$12,MATCH($D146,등급!$A$5:$A$12,0))</f>
        <v>4</v>
      </c>
      <c r="L146" s="19" t="str">
        <f aca="false">IF(INDEX(등급!$H$5:$H$12,MATCH($D146,등급!$A$5:$A$12,0))=0,"-",IF(INDEX(등급!$G$5:$G$12,MATCH($D146,등급!$A$5:$A$12,0))=INDEX(등급!$H$5:$H$12,MATCH($D146,등급!$A$5:$A$12,0)),INDEX(등급!$G$5:$G$12,MATCH($D146,등급!$A$5:$A$12,0))&amp;"칸",INDEX(등급!$G$5:$G$12,MATCH($D146,등급!$A$5:$A$12,0))&amp;"~"&amp;INDEX(등급!$H$5:$H$12,MATCH($D146,등급!$A$5:$A$12,0))&amp;"칸"))</f>
        <v>-</v>
      </c>
      <c r="M146" s="19" t="str">
        <f aca="false">IF(INDEX(등급!$J$5:$J$12,MATCH($D146,등급!$A$5:$A$12,0))=0,"-",IF(INDEX(등급!$I$5:$I$12,MATCH($D146,등급!$A$5:$A$12,0))=INDEX(등급!$J$5:$J$12,MATCH($D146,등급!$A$5:$A$12,0)),INDEX(등급!$I$5:$I$12,MATCH($D146,등급!$A$5:$A$12,0))&amp;"개",INDEX(등급!$I$5:$I$12,MATCH($D146,등급!$A$5:$A$12,0))&amp;"~"&amp;INDEX(등급!$J$5:$J$12,MATCH($D146,등급!$A$5:$A$12,0))&amp;"개"))</f>
        <v>-</v>
      </c>
      <c r="N146" s="19" t="str">
        <f aca="false">IF(INDEX(등급!$L$5:$L$12,MATCH($D146,등급!$A$5:$A$12,0))=0,"-",INDEX(등급!$K$5:$K$12,MATCH($D146,등급!$A$5:$A$12,0))&amp;"~"&amp;INDEX(등급!$L$5:$L$12,MATCH($D146,등급!$A$5:$A$12,0))&amp;"개")</f>
        <v>-</v>
      </c>
    </row>
    <row r="147" customFormat="false" ht="15" hidden="false" customHeight="false" outlineLevel="0" collapsed="false">
      <c r="A147" s="19" t="str">
        <f aca="false">장비_기본!B22</f>
        <v>폭풍의 연궁</v>
      </c>
      <c r="B147" s="19" t="str">
        <f aca="false">장비_기본!C22</f>
        <v>무기</v>
      </c>
      <c r="C147" s="19" t="str">
        <f aca="false">장비_기본!D22</f>
        <v>원딜</v>
      </c>
      <c r="D147" s="8" t="s">
        <v>49</v>
      </c>
      <c r="E147" s="19" t="str">
        <f aca="false">장비_기본!F22</f>
        <v>공격력</v>
      </c>
      <c r="F147" s="20" t="n">
        <f aca="false">장비_기본!G22*INDEX(등급!$C$5:$C$12,MATCH($D147,등급!$A$5:$A$12,0))</f>
        <v>11.52</v>
      </c>
      <c r="G147" s="19" t="str">
        <f aca="false">장비_기본!H22</f>
        <v>치명타 확률</v>
      </c>
      <c r="H147" s="21" t="n">
        <f aca="false">장비_기본!I22*INDEX(등급!$C$5:$C$12,MATCH($D147,등급!$A$5:$A$12,0))</f>
        <v>0.0256</v>
      </c>
      <c r="I147" s="19" t="str">
        <f aca="false">장비_기본!J22</f>
        <v>평타 [값]% 확률로 2연사</v>
      </c>
      <c r="J147" s="20" t="n">
        <f aca="false">ROUND(장비_기본!K22*INDEX(등급!$F$5:$F$12,MATCH($D147,등급!$A$5:$A$12,0)),1)</f>
        <v>15.9</v>
      </c>
      <c r="K147" s="19" t="n">
        <f aca="false">INDEX(등급!$D$5:$D$12,MATCH($D147,등급!$A$5:$A$12,0))</f>
        <v>4</v>
      </c>
      <c r="L147" s="19" t="str">
        <f aca="false">IF(INDEX(등급!$H$5:$H$12,MATCH($D147,등급!$A$5:$A$12,0))=0,"-",IF(INDEX(등급!$G$5:$G$12,MATCH($D147,등급!$A$5:$A$12,0))=INDEX(등급!$H$5:$H$12,MATCH($D147,등급!$A$5:$A$12,0)),INDEX(등급!$G$5:$G$12,MATCH($D147,등급!$A$5:$A$12,0))&amp;"칸",INDEX(등급!$G$5:$G$12,MATCH($D147,등급!$A$5:$A$12,0))&amp;"~"&amp;INDEX(등급!$H$5:$H$12,MATCH($D147,등급!$A$5:$A$12,0))&amp;"칸"))</f>
        <v>1칸</v>
      </c>
      <c r="M147" s="19" t="str">
        <f aca="false">IF(INDEX(등급!$J$5:$J$12,MATCH($D147,등급!$A$5:$A$12,0))=0,"-",IF(INDEX(등급!$I$5:$I$12,MATCH($D147,등급!$A$5:$A$12,0))=INDEX(등급!$J$5:$J$12,MATCH($D147,등급!$A$5:$A$12,0)),INDEX(등급!$I$5:$I$12,MATCH($D147,등급!$A$5:$A$12,0))&amp;"개",INDEX(등급!$I$5:$I$12,MATCH($D147,등급!$A$5:$A$12,0))&amp;"~"&amp;INDEX(등급!$J$5:$J$12,MATCH($D147,등급!$A$5:$A$12,0))&amp;"개"))</f>
        <v>0~1개</v>
      </c>
      <c r="N147" s="19" t="str">
        <f aca="false">IF(INDEX(등급!$L$5:$L$12,MATCH($D147,등급!$A$5:$A$12,0))=0,"-",INDEX(등급!$K$5:$K$12,MATCH($D147,등급!$A$5:$A$12,0))&amp;"~"&amp;INDEX(등급!$L$5:$L$12,MATCH($D147,등급!$A$5:$A$12,0))&amp;"개")</f>
        <v>0~1개</v>
      </c>
    </row>
    <row r="148" customFormat="false" ht="15" hidden="false" customHeight="false" outlineLevel="0" collapsed="false">
      <c r="A148" s="19" t="str">
        <f aca="false">장비_기본!B22</f>
        <v>폭풍의 연궁</v>
      </c>
      <c r="B148" s="19" t="str">
        <f aca="false">장비_기본!C22</f>
        <v>무기</v>
      </c>
      <c r="C148" s="19" t="str">
        <f aca="false">장비_기본!D22</f>
        <v>원딜</v>
      </c>
      <c r="D148" s="8" t="s">
        <v>51</v>
      </c>
      <c r="E148" s="19" t="str">
        <f aca="false">장비_기본!F22</f>
        <v>공격력</v>
      </c>
      <c r="F148" s="20" t="n">
        <f aca="false">장비_기본!G22*INDEX(등급!$C$5:$C$12,MATCH($D148,등급!$A$5:$A$12,0))</f>
        <v>11.88</v>
      </c>
      <c r="G148" s="19" t="str">
        <f aca="false">장비_기본!H22</f>
        <v>치명타 확률</v>
      </c>
      <c r="H148" s="21" t="n">
        <f aca="false">장비_기본!I22*INDEX(등급!$C$5:$C$12,MATCH($D148,등급!$A$5:$A$12,0))</f>
        <v>0.0264</v>
      </c>
      <c r="I148" s="19" t="str">
        <f aca="false">장비_기본!J22</f>
        <v>평타 [값]% 확률로 2연사</v>
      </c>
      <c r="J148" s="20" t="n">
        <f aca="false">ROUND(장비_기본!K22*INDEX(등급!$F$5:$F$12,MATCH($D148,등급!$A$5:$A$12,0)),1)</f>
        <v>18</v>
      </c>
      <c r="K148" s="19" t="n">
        <f aca="false">INDEX(등급!$D$5:$D$12,MATCH($D148,등급!$A$5:$A$12,0))</f>
        <v>4</v>
      </c>
      <c r="L148" s="19" t="str">
        <f aca="false">IF(INDEX(등급!$H$5:$H$12,MATCH($D148,등급!$A$5:$A$12,0))=0,"-",IF(INDEX(등급!$G$5:$G$12,MATCH($D148,등급!$A$5:$A$12,0))=INDEX(등급!$H$5:$H$12,MATCH($D148,등급!$A$5:$A$12,0)),INDEX(등급!$G$5:$G$12,MATCH($D148,등급!$A$5:$A$12,0))&amp;"칸",INDEX(등급!$G$5:$G$12,MATCH($D148,등급!$A$5:$A$12,0))&amp;"~"&amp;INDEX(등급!$H$5:$H$12,MATCH($D148,등급!$A$5:$A$12,0))&amp;"칸"))</f>
        <v>1~3칸</v>
      </c>
      <c r="M148" s="19" t="str">
        <f aca="false">IF(INDEX(등급!$J$5:$J$12,MATCH($D148,등급!$A$5:$A$12,0))=0,"-",IF(INDEX(등급!$I$5:$I$12,MATCH($D148,등급!$A$5:$A$12,0))=INDEX(등급!$J$5:$J$12,MATCH($D148,등급!$A$5:$A$12,0)),INDEX(등급!$I$5:$I$12,MATCH($D148,등급!$A$5:$A$12,0))&amp;"개",INDEX(등급!$I$5:$I$12,MATCH($D148,등급!$A$5:$A$12,0))&amp;"~"&amp;INDEX(등급!$J$5:$J$12,MATCH($D148,등급!$A$5:$A$12,0))&amp;"개"))</f>
        <v>1개</v>
      </c>
      <c r="N148" s="19" t="str">
        <f aca="false">IF(INDEX(등급!$L$5:$L$12,MATCH($D148,등급!$A$5:$A$12,0))=0,"-",INDEX(등급!$K$5:$K$12,MATCH($D148,등급!$A$5:$A$12,0))&amp;"~"&amp;INDEX(등급!$L$5:$L$12,MATCH($D148,등급!$A$5:$A$12,0))&amp;"개")</f>
        <v>0~2개</v>
      </c>
    </row>
    <row r="149" customFormat="false" ht="15" hidden="false" customHeight="false" outlineLevel="0" collapsed="false">
      <c r="A149" s="19" t="str">
        <f aca="false">장비_기본!B23</f>
        <v>은빛 석궁</v>
      </c>
      <c r="B149" s="19" t="str">
        <f aca="false">장비_기본!C23</f>
        <v>무기</v>
      </c>
      <c r="C149" s="19" t="str">
        <f aca="false">장비_기본!D23</f>
        <v>원딜</v>
      </c>
      <c r="D149" s="8" t="s">
        <v>43</v>
      </c>
      <c r="E149" s="19" t="str">
        <f aca="false">장비_기본!F23</f>
        <v>공격력</v>
      </c>
      <c r="F149" s="20" t="n">
        <f aca="false">장비_기본!G23*INDEX(등급!$C$5:$C$12,MATCH($D149,등급!$A$5:$A$12,0))</f>
        <v>3.6</v>
      </c>
      <c r="G149" s="19" t="str">
        <f aca="false">장비_기본!H23</f>
        <v>치명타 확률</v>
      </c>
      <c r="H149" s="21" t="n">
        <f aca="false">장비_기본!I23*INDEX(등급!$C$5:$C$12,MATCH($D149,등급!$A$5:$A$12,0))</f>
        <v>0.008</v>
      </c>
      <c r="I149" s="19" t="str">
        <f aca="false">장비_기본!J23</f>
        <v>③ 집중 사격 위력 +[값]%</v>
      </c>
      <c r="J149" s="20" t="n">
        <f aca="false">ROUND(장비_기본!K23*INDEX(등급!$F$5:$F$12,MATCH($D149,등급!$A$5:$A$12,0)),1)</f>
        <v>8</v>
      </c>
      <c r="K149" s="19" t="n">
        <f aca="false">INDEX(등급!$D$5:$D$12,MATCH($D149,등급!$A$5:$A$12,0))</f>
        <v>0</v>
      </c>
      <c r="L149" s="19" t="str">
        <f aca="false">IF(INDEX(등급!$H$5:$H$12,MATCH($D149,등급!$A$5:$A$12,0))=0,"-",IF(INDEX(등급!$G$5:$G$12,MATCH($D149,등급!$A$5:$A$12,0))=INDEX(등급!$H$5:$H$12,MATCH($D149,등급!$A$5:$A$12,0)),INDEX(등급!$G$5:$G$12,MATCH($D149,등급!$A$5:$A$12,0))&amp;"칸",INDEX(등급!$G$5:$G$12,MATCH($D149,등급!$A$5:$A$12,0))&amp;"~"&amp;INDEX(등급!$H$5:$H$12,MATCH($D149,등급!$A$5:$A$12,0))&amp;"칸"))</f>
        <v>-</v>
      </c>
      <c r="M149" s="19" t="str">
        <f aca="false">IF(INDEX(등급!$J$5:$J$12,MATCH($D149,등급!$A$5:$A$12,0))=0,"-",IF(INDEX(등급!$I$5:$I$12,MATCH($D149,등급!$A$5:$A$12,0))=INDEX(등급!$J$5:$J$12,MATCH($D149,등급!$A$5:$A$12,0)),INDEX(등급!$I$5:$I$12,MATCH($D149,등급!$A$5:$A$12,0))&amp;"개",INDEX(등급!$I$5:$I$12,MATCH($D149,등급!$A$5:$A$12,0))&amp;"~"&amp;INDEX(등급!$J$5:$J$12,MATCH($D149,등급!$A$5:$A$12,0))&amp;"개"))</f>
        <v>-</v>
      </c>
      <c r="N149" s="19" t="str">
        <f aca="false">IF(INDEX(등급!$L$5:$L$12,MATCH($D149,등급!$A$5:$A$12,0))=0,"-",INDEX(등급!$K$5:$K$12,MATCH($D149,등급!$A$5:$A$12,0))&amp;"~"&amp;INDEX(등급!$L$5:$L$12,MATCH($D149,등급!$A$5:$A$12,0))&amp;"개")</f>
        <v>-</v>
      </c>
    </row>
    <row r="150" customFormat="false" ht="15" hidden="false" customHeight="false" outlineLevel="0" collapsed="false">
      <c r="A150" s="19" t="str">
        <f aca="false">장비_기본!B23</f>
        <v>은빛 석궁</v>
      </c>
      <c r="B150" s="19" t="str">
        <f aca="false">장비_기본!C23</f>
        <v>무기</v>
      </c>
      <c r="C150" s="19" t="str">
        <f aca="false">장비_기본!D23</f>
        <v>원딜</v>
      </c>
      <c r="D150" s="8" t="s">
        <v>44</v>
      </c>
      <c r="E150" s="19" t="str">
        <f aca="false">장비_기본!F23</f>
        <v>공격력</v>
      </c>
      <c r="F150" s="20" t="n">
        <f aca="false">장비_기본!G23*INDEX(등급!$C$5:$C$12,MATCH($D150,등급!$A$5:$A$12,0))</f>
        <v>5.22</v>
      </c>
      <c r="G150" s="19" t="str">
        <f aca="false">장비_기본!H23</f>
        <v>치명타 확률</v>
      </c>
      <c r="H150" s="21" t="n">
        <f aca="false">장비_기본!I23*INDEX(등급!$C$5:$C$12,MATCH($D150,등급!$A$5:$A$12,0))</f>
        <v>0.0116</v>
      </c>
      <c r="I150" s="19" t="str">
        <f aca="false">장비_기본!J23</f>
        <v>③ 집중 사격 위력 +[값]%</v>
      </c>
      <c r="J150" s="20" t="n">
        <f aca="false">ROUND(장비_기본!K23*INDEX(등급!$F$5:$F$12,MATCH($D150,등급!$A$5:$A$12,0)),1)</f>
        <v>10.8</v>
      </c>
      <c r="K150" s="19" t="n">
        <f aca="false">INDEX(등급!$D$5:$D$12,MATCH($D150,등급!$A$5:$A$12,0))</f>
        <v>0</v>
      </c>
      <c r="L150" s="19" t="str">
        <f aca="false">IF(INDEX(등급!$H$5:$H$12,MATCH($D150,등급!$A$5:$A$12,0))=0,"-",IF(INDEX(등급!$G$5:$G$12,MATCH($D150,등급!$A$5:$A$12,0))=INDEX(등급!$H$5:$H$12,MATCH($D150,등급!$A$5:$A$12,0)),INDEX(등급!$G$5:$G$12,MATCH($D150,등급!$A$5:$A$12,0))&amp;"칸",INDEX(등급!$G$5:$G$12,MATCH($D150,등급!$A$5:$A$12,0))&amp;"~"&amp;INDEX(등급!$H$5:$H$12,MATCH($D150,등급!$A$5:$A$12,0))&amp;"칸"))</f>
        <v>-</v>
      </c>
      <c r="M150" s="19" t="str">
        <f aca="false">IF(INDEX(등급!$J$5:$J$12,MATCH($D150,등급!$A$5:$A$12,0))=0,"-",IF(INDEX(등급!$I$5:$I$12,MATCH($D150,등급!$A$5:$A$12,0))=INDEX(등급!$J$5:$J$12,MATCH($D150,등급!$A$5:$A$12,0)),INDEX(등급!$I$5:$I$12,MATCH($D150,등급!$A$5:$A$12,0))&amp;"개",INDEX(등급!$I$5:$I$12,MATCH($D150,등급!$A$5:$A$12,0))&amp;"~"&amp;INDEX(등급!$J$5:$J$12,MATCH($D150,등급!$A$5:$A$12,0))&amp;"개"))</f>
        <v>-</v>
      </c>
      <c r="N150" s="19" t="str">
        <f aca="false">IF(INDEX(등급!$L$5:$L$12,MATCH($D150,등급!$A$5:$A$12,0))=0,"-",INDEX(등급!$K$5:$K$12,MATCH($D150,등급!$A$5:$A$12,0))&amp;"~"&amp;INDEX(등급!$L$5:$L$12,MATCH($D150,등급!$A$5:$A$12,0))&amp;"개")</f>
        <v>-</v>
      </c>
    </row>
    <row r="151" customFormat="false" ht="15" hidden="false" customHeight="false" outlineLevel="0" collapsed="false">
      <c r="A151" s="19" t="str">
        <f aca="false">장비_기본!B23</f>
        <v>은빛 석궁</v>
      </c>
      <c r="B151" s="19" t="str">
        <f aca="false">장비_기본!C23</f>
        <v>무기</v>
      </c>
      <c r="C151" s="19" t="str">
        <f aca="false">장비_기본!D23</f>
        <v>원딜</v>
      </c>
      <c r="D151" s="8" t="s">
        <v>45</v>
      </c>
      <c r="E151" s="19" t="str">
        <f aca="false">장비_기본!F23</f>
        <v>공격력</v>
      </c>
      <c r="F151" s="20" t="n">
        <f aca="false">장비_기본!G23*INDEX(등급!$C$5:$C$12,MATCH($D151,등급!$A$5:$A$12,0))</f>
        <v>6.12</v>
      </c>
      <c r="G151" s="19" t="str">
        <f aca="false">장비_기본!H23</f>
        <v>치명타 확률</v>
      </c>
      <c r="H151" s="21" t="n">
        <f aca="false">장비_기본!I23*INDEX(등급!$C$5:$C$12,MATCH($D151,등급!$A$5:$A$12,0))</f>
        <v>0.0136</v>
      </c>
      <c r="I151" s="19" t="str">
        <f aca="false">장비_기본!J23</f>
        <v>③ 집중 사격 위력 +[값]%</v>
      </c>
      <c r="J151" s="20" t="n">
        <f aca="false">ROUND(장비_기본!K23*INDEX(등급!$F$5:$F$12,MATCH($D151,등급!$A$5:$A$12,0)),1)</f>
        <v>12</v>
      </c>
      <c r="K151" s="19" t="n">
        <f aca="false">INDEX(등급!$D$5:$D$12,MATCH($D151,등급!$A$5:$A$12,0))</f>
        <v>1</v>
      </c>
      <c r="L151" s="19" t="str">
        <f aca="false">IF(INDEX(등급!$H$5:$H$12,MATCH($D151,등급!$A$5:$A$12,0))=0,"-",IF(INDEX(등급!$G$5:$G$12,MATCH($D151,등급!$A$5:$A$12,0))=INDEX(등급!$H$5:$H$12,MATCH($D151,등급!$A$5:$A$12,0)),INDEX(등급!$G$5:$G$12,MATCH($D151,등급!$A$5:$A$12,0))&amp;"칸",INDEX(등급!$G$5:$G$12,MATCH($D151,등급!$A$5:$A$12,0))&amp;"~"&amp;INDEX(등급!$H$5:$H$12,MATCH($D151,등급!$A$5:$A$12,0))&amp;"칸"))</f>
        <v>-</v>
      </c>
      <c r="M151" s="19" t="str">
        <f aca="false">IF(INDEX(등급!$J$5:$J$12,MATCH($D151,등급!$A$5:$A$12,0))=0,"-",IF(INDEX(등급!$I$5:$I$12,MATCH($D151,등급!$A$5:$A$12,0))=INDEX(등급!$J$5:$J$12,MATCH($D151,등급!$A$5:$A$12,0)),INDEX(등급!$I$5:$I$12,MATCH($D151,등급!$A$5:$A$12,0))&amp;"개",INDEX(등급!$I$5:$I$12,MATCH($D151,등급!$A$5:$A$12,0))&amp;"~"&amp;INDEX(등급!$J$5:$J$12,MATCH($D151,등급!$A$5:$A$12,0))&amp;"개"))</f>
        <v>-</v>
      </c>
      <c r="N151" s="19" t="str">
        <f aca="false">IF(INDEX(등급!$L$5:$L$12,MATCH($D151,등급!$A$5:$A$12,0))=0,"-",INDEX(등급!$K$5:$K$12,MATCH($D151,등급!$A$5:$A$12,0))&amp;"~"&amp;INDEX(등급!$L$5:$L$12,MATCH($D151,등급!$A$5:$A$12,0))&amp;"개")</f>
        <v>-</v>
      </c>
    </row>
    <row r="152" customFormat="false" ht="15" hidden="false" customHeight="false" outlineLevel="0" collapsed="false">
      <c r="A152" s="19" t="str">
        <f aca="false">장비_기본!B23</f>
        <v>은빛 석궁</v>
      </c>
      <c r="B152" s="19" t="str">
        <f aca="false">장비_기본!C23</f>
        <v>무기</v>
      </c>
      <c r="C152" s="19" t="str">
        <f aca="false">장비_기본!D23</f>
        <v>원딜</v>
      </c>
      <c r="D152" s="8" t="s">
        <v>46</v>
      </c>
      <c r="E152" s="19" t="str">
        <f aca="false">장비_기본!F23</f>
        <v>공격력</v>
      </c>
      <c r="F152" s="20" t="n">
        <f aca="false">장비_기본!G23*INDEX(등급!$C$5:$C$12,MATCH($D152,등급!$A$5:$A$12,0))</f>
        <v>7.56</v>
      </c>
      <c r="G152" s="19" t="str">
        <f aca="false">장비_기본!H23</f>
        <v>치명타 확률</v>
      </c>
      <c r="H152" s="21" t="n">
        <f aca="false">장비_기본!I23*INDEX(등급!$C$5:$C$12,MATCH($D152,등급!$A$5:$A$12,0))</f>
        <v>0.0168</v>
      </c>
      <c r="I152" s="19" t="str">
        <f aca="false">장비_기본!J23</f>
        <v>③ 집중 사격 위력 +[값]%</v>
      </c>
      <c r="J152" s="20" t="n">
        <f aca="false">ROUND(장비_기본!K23*INDEX(등급!$F$5:$F$12,MATCH($D152,등급!$A$5:$A$12,0)),1)</f>
        <v>14</v>
      </c>
      <c r="K152" s="19" t="n">
        <f aca="false">INDEX(등급!$D$5:$D$12,MATCH($D152,등급!$A$5:$A$12,0))</f>
        <v>2</v>
      </c>
      <c r="L152" s="19" t="str">
        <f aca="false">IF(INDEX(등급!$H$5:$H$12,MATCH($D152,등급!$A$5:$A$12,0))=0,"-",IF(INDEX(등급!$G$5:$G$12,MATCH($D152,등급!$A$5:$A$12,0))=INDEX(등급!$H$5:$H$12,MATCH($D152,등급!$A$5:$A$12,0)),INDEX(등급!$G$5:$G$12,MATCH($D152,등급!$A$5:$A$12,0))&amp;"칸",INDEX(등급!$G$5:$G$12,MATCH($D152,등급!$A$5:$A$12,0))&amp;"~"&amp;INDEX(등급!$H$5:$H$12,MATCH($D152,등급!$A$5:$A$12,0))&amp;"칸"))</f>
        <v>-</v>
      </c>
      <c r="M152" s="19" t="str">
        <f aca="false">IF(INDEX(등급!$J$5:$J$12,MATCH($D152,등급!$A$5:$A$12,0))=0,"-",IF(INDEX(등급!$I$5:$I$12,MATCH($D152,등급!$A$5:$A$12,0))=INDEX(등급!$J$5:$J$12,MATCH($D152,등급!$A$5:$A$12,0)),INDEX(등급!$I$5:$I$12,MATCH($D152,등급!$A$5:$A$12,0))&amp;"개",INDEX(등급!$I$5:$I$12,MATCH($D152,등급!$A$5:$A$12,0))&amp;"~"&amp;INDEX(등급!$J$5:$J$12,MATCH($D152,등급!$A$5:$A$12,0))&amp;"개"))</f>
        <v>-</v>
      </c>
      <c r="N152" s="19" t="str">
        <f aca="false">IF(INDEX(등급!$L$5:$L$12,MATCH($D152,등급!$A$5:$A$12,0))=0,"-",INDEX(등급!$K$5:$K$12,MATCH($D152,등급!$A$5:$A$12,0))&amp;"~"&amp;INDEX(등급!$L$5:$L$12,MATCH($D152,등급!$A$5:$A$12,0))&amp;"개")</f>
        <v>-</v>
      </c>
    </row>
    <row r="153" customFormat="false" ht="15" hidden="false" customHeight="false" outlineLevel="0" collapsed="false">
      <c r="A153" s="19" t="str">
        <f aca="false">장비_기본!B23</f>
        <v>은빛 석궁</v>
      </c>
      <c r="B153" s="19" t="str">
        <f aca="false">장비_기본!C23</f>
        <v>무기</v>
      </c>
      <c r="C153" s="19" t="str">
        <f aca="false">장비_기본!D23</f>
        <v>원딜</v>
      </c>
      <c r="D153" s="8" t="s">
        <v>47</v>
      </c>
      <c r="E153" s="19" t="str">
        <f aca="false">장비_기본!F23</f>
        <v>공격력</v>
      </c>
      <c r="F153" s="20" t="n">
        <f aca="false">장비_기본!G23*INDEX(등급!$C$5:$C$12,MATCH($D153,등급!$A$5:$A$12,0))</f>
        <v>9.18</v>
      </c>
      <c r="G153" s="19" t="str">
        <f aca="false">장비_기본!H23</f>
        <v>치명타 확률</v>
      </c>
      <c r="H153" s="21" t="n">
        <f aca="false">장비_기본!I23*INDEX(등급!$C$5:$C$12,MATCH($D153,등급!$A$5:$A$12,0))</f>
        <v>0.0204</v>
      </c>
      <c r="I153" s="19" t="str">
        <f aca="false">장비_기본!J23</f>
        <v>③ 집중 사격 위력 +[값]%</v>
      </c>
      <c r="J153" s="20" t="n">
        <f aca="false">ROUND(장비_기본!K23*INDEX(등급!$F$5:$F$12,MATCH($D153,등급!$A$5:$A$12,0)),1)</f>
        <v>16</v>
      </c>
      <c r="K153" s="19" t="n">
        <f aca="false">INDEX(등급!$D$5:$D$12,MATCH($D153,등급!$A$5:$A$12,0))</f>
        <v>3</v>
      </c>
      <c r="L153" s="19" t="str">
        <f aca="false">IF(INDEX(등급!$H$5:$H$12,MATCH($D153,등급!$A$5:$A$12,0))=0,"-",IF(INDEX(등급!$G$5:$G$12,MATCH($D153,등급!$A$5:$A$12,0))=INDEX(등급!$H$5:$H$12,MATCH($D153,등급!$A$5:$A$12,0)),INDEX(등급!$G$5:$G$12,MATCH($D153,등급!$A$5:$A$12,0))&amp;"칸",INDEX(등급!$G$5:$G$12,MATCH($D153,등급!$A$5:$A$12,0))&amp;"~"&amp;INDEX(등급!$H$5:$H$12,MATCH($D153,등급!$A$5:$A$12,0))&amp;"칸"))</f>
        <v>-</v>
      </c>
      <c r="M153" s="19" t="str">
        <f aca="false">IF(INDEX(등급!$J$5:$J$12,MATCH($D153,등급!$A$5:$A$12,0))=0,"-",IF(INDEX(등급!$I$5:$I$12,MATCH($D153,등급!$A$5:$A$12,0))=INDEX(등급!$J$5:$J$12,MATCH($D153,등급!$A$5:$A$12,0)),INDEX(등급!$I$5:$I$12,MATCH($D153,등급!$A$5:$A$12,0))&amp;"개",INDEX(등급!$I$5:$I$12,MATCH($D153,등급!$A$5:$A$12,0))&amp;"~"&amp;INDEX(등급!$J$5:$J$12,MATCH($D153,등급!$A$5:$A$12,0))&amp;"개"))</f>
        <v>-</v>
      </c>
      <c r="N153" s="19" t="str">
        <f aca="false">IF(INDEX(등급!$L$5:$L$12,MATCH($D153,등급!$A$5:$A$12,0))=0,"-",INDEX(등급!$K$5:$K$12,MATCH($D153,등급!$A$5:$A$12,0))&amp;"~"&amp;INDEX(등급!$L$5:$L$12,MATCH($D153,등급!$A$5:$A$12,0))&amp;"개")</f>
        <v>-</v>
      </c>
    </row>
    <row r="154" customFormat="false" ht="15" hidden="false" customHeight="false" outlineLevel="0" collapsed="false">
      <c r="A154" s="19" t="str">
        <f aca="false">장비_기본!B23</f>
        <v>은빛 석궁</v>
      </c>
      <c r="B154" s="19" t="str">
        <f aca="false">장비_기본!C23</f>
        <v>무기</v>
      </c>
      <c r="C154" s="19" t="str">
        <f aca="false">장비_기본!D23</f>
        <v>원딜</v>
      </c>
      <c r="D154" s="8" t="s">
        <v>48</v>
      </c>
      <c r="E154" s="19" t="str">
        <f aca="false">장비_기본!F23</f>
        <v>공격력</v>
      </c>
      <c r="F154" s="20" t="n">
        <f aca="false">장비_기본!G23*INDEX(등급!$C$5:$C$12,MATCH($D154,등급!$A$5:$A$12,0))</f>
        <v>10.98</v>
      </c>
      <c r="G154" s="19" t="str">
        <f aca="false">장비_기본!H23</f>
        <v>치명타 확률</v>
      </c>
      <c r="H154" s="21" t="n">
        <f aca="false">장비_기본!I23*INDEX(등급!$C$5:$C$12,MATCH($D154,등급!$A$5:$A$12,0))</f>
        <v>0.0244</v>
      </c>
      <c r="I154" s="19" t="str">
        <f aca="false">장비_기본!J23</f>
        <v>③ 집중 사격 위력 +[값]%</v>
      </c>
      <c r="J154" s="20" t="n">
        <f aca="false">ROUND(장비_기본!K23*INDEX(등급!$F$5:$F$12,MATCH($D154,등급!$A$5:$A$12,0)),1)</f>
        <v>18.4</v>
      </c>
      <c r="K154" s="19" t="n">
        <f aca="false">INDEX(등급!$D$5:$D$12,MATCH($D154,등급!$A$5:$A$12,0))</f>
        <v>4</v>
      </c>
      <c r="L154" s="19" t="str">
        <f aca="false">IF(INDEX(등급!$H$5:$H$12,MATCH($D154,등급!$A$5:$A$12,0))=0,"-",IF(INDEX(등급!$G$5:$G$12,MATCH($D154,등급!$A$5:$A$12,0))=INDEX(등급!$H$5:$H$12,MATCH($D154,등급!$A$5:$A$12,0)),INDEX(등급!$G$5:$G$12,MATCH($D154,등급!$A$5:$A$12,0))&amp;"칸",INDEX(등급!$G$5:$G$12,MATCH($D154,등급!$A$5:$A$12,0))&amp;"~"&amp;INDEX(등급!$H$5:$H$12,MATCH($D154,등급!$A$5:$A$12,0))&amp;"칸"))</f>
        <v>-</v>
      </c>
      <c r="M154" s="19" t="str">
        <f aca="false">IF(INDEX(등급!$J$5:$J$12,MATCH($D154,등급!$A$5:$A$12,0))=0,"-",IF(INDEX(등급!$I$5:$I$12,MATCH($D154,등급!$A$5:$A$12,0))=INDEX(등급!$J$5:$J$12,MATCH($D154,등급!$A$5:$A$12,0)),INDEX(등급!$I$5:$I$12,MATCH($D154,등급!$A$5:$A$12,0))&amp;"개",INDEX(등급!$I$5:$I$12,MATCH($D154,등급!$A$5:$A$12,0))&amp;"~"&amp;INDEX(등급!$J$5:$J$12,MATCH($D154,등급!$A$5:$A$12,0))&amp;"개"))</f>
        <v>-</v>
      </c>
      <c r="N154" s="19" t="str">
        <f aca="false">IF(INDEX(등급!$L$5:$L$12,MATCH($D154,등급!$A$5:$A$12,0))=0,"-",INDEX(등급!$K$5:$K$12,MATCH($D154,등급!$A$5:$A$12,0))&amp;"~"&amp;INDEX(등급!$L$5:$L$12,MATCH($D154,등급!$A$5:$A$12,0))&amp;"개")</f>
        <v>-</v>
      </c>
    </row>
    <row r="155" customFormat="false" ht="15" hidden="false" customHeight="false" outlineLevel="0" collapsed="false">
      <c r="A155" s="19" t="str">
        <f aca="false">장비_기본!B23</f>
        <v>은빛 석궁</v>
      </c>
      <c r="B155" s="19" t="str">
        <f aca="false">장비_기본!C23</f>
        <v>무기</v>
      </c>
      <c r="C155" s="19" t="str">
        <f aca="false">장비_기본!D23</f>
        <v>원딜</v>
      </c>
      <c r="D155" s="8" t="s">
        <v>49</v>
      </c>
      <c r="E155" s="19" t="str">
        <f aca="false">장비_기본!F23</f>
        <v>공격력</v>
      </c>
      <c r="F155" s="20" t="n">
        <f aca="false">장비_기본!G23*INDEX(등급!$C$5:$C$12,MATCH($D155,등급!$A$5:$A$12,0))</f>
        <v>11.52</v>
      </c>
      <c r="G155" s="19" t="str">
        <f aca="false">장비_기본!H23</f>
        <v>치명타 확률</v>
      </c>
      <c r="H155" s="21" t="n">
        <f aca="false">장비_기본!I23*INDEX(등급!$C$5:$C$12,MATCH($D155,등급!$A$5:$A$12,0))</f>
        <v>0.0256</v>
      </c>
      <c r="I155" s="19" t="str">
        <f aca="false">장비_기본!J23</f>
        <v>③ 집중 사격 위력 +[값]%</v>
      </c>
      <c r="J155" s="20" t="n">
        <f aca="false">ROUND(장비_기본!K23*INDEX(등급!$F$5:$F$12,MATCH($D155,등급!$A$5:$A$12,0)),1)</f>
        <v>21.2</v>
      </c>
      <c r="K155" s="19" t="n">
        <f aca="false">INDEX(등급!$D$5:$D$12,MATCH($D155,등급!$A$5:$A$12,0))</f>
        <v>4</v>
      </c>
      <c r="L155" s="19" t="str">
        <f aca="false">IF(INDEX(등급!$H$5:$H$12,MATCH($D155,등급!$A$5:$A$12,0))=0,"-",IF(INDEX(등급!$G$5:$G$12,MATCH($D155,등급!$A$5:$A$12,0))=INDEX(등급!$H$5:$H$12,MATCH($D155,등급!$A$5:$A$12,0)),INDEX(등급!$G$5:$G$12,MATCH($D155,등급!$A$5:$A$12,0))&amp;"칸",INDEX(등급!$G$5:$G$12,MATCH($D155,등급!$A$5:$A$12,0))&amp;"~"&amp;INDEX(등급!$H$5:$H$12,MATCH($D155,등급!$A$5:$A$12,0))&amp;"칸"))</f>
        <v>1칸</v>
      </c>
      <c r="M155" s="19" t="str">
        <f aca="false">IF(INDEX(등급!$J$5:$J$12,MATCH($D155,등급!$A$5:$A$12,0))=0,"-",IF(INDEX(등급!$I$5:$I$12,MATCH($D155,등급!$A$5:$A$12,0))=INDEX(등급!$J$5:$J$12,MATCH($D155,등급!$A$5:$A$12,0)),INDEX(등급!$I$5:$I$12,MATCH($D155,등급!$A$5:$A$12,0))&amp;"개",INDEX(등급!$I$5:$I$12,MATCH($D155,등급!$A$5:$A$12,0))&amp;"~"&amp;INDEX(등급!$J$5:$J$12,MATCH($D155,등급!$A$5:$A$12,0))&amp;"개"))</f>
        <v>0~1개</v>
      </c>
      <c r="N155" s="19" t="str">
        <f aca="false">IF(INDEX(등급!$L$5:$L$12,MATCH($D155,등급!$A$5:$A$12,0))=0,"-",INDEX(등급!$K$5:$K$12,MATCH($D155,등급!$A$5:$A$12,0))&amp;"~"&amp;INDEX(등급!$L$5:$L$12,MATCH($D155,등급!$A$5:$A$12,0))&amp;"개")</f>
        <v>0~1개</v>
      </c>
    </row>
    <row r="156" customFormat="false" ht="15" hidden="false" customHeight="false" outlineLevel="0" collapsed="false">
      <c r="A156" s="19" t="str">
        <f aca="false">장비_기본!B23</f>
        <v>은빛 석궁</v>
      </c>
      <c r="B156" s="19" t="str">
        <f aca="false">장비_기본!C23</f>
        <v>무기</v>
      </c>
      <c r="C156" s="19" t="str">
        <f aca="false">장비_기본!D23</f>
        <v>원딜</v>
      </c>
      <c r="D156" s="8" t="s">
        <v>51</v>
      </c>
      <c r="E156" s="19" t="str">
        <f aca="false">장비_기본!F23</f>
        <v>공격력</v>
      </c>
      <c r="F156" s="20" t="n">
        <f aca="false">장비_기본!G23*INDEX(등급!$C$5:$C$12,MATCH($D156,등급!$A$5:$A$12,0))</f>
        <v>11.88</v>
      </c>
      <c r="G156" s="19" t="str">
        <f aca="false">장비_기본!H23</f>
        <v>치명타 확률</v>
      </c>
      <c r="H156" s="21" t="n">
        <f aca="false">장비_기본!I23*INDEX(등급!$C$5:$C$12,MATCH($D156,등급!$A$5:$A$12,0))</f>
        <v>0.0264</v>
      </c>
      <c r="I156" s="19" t="str">
        <f aca="false">장비_기본!J23</f>
        <v>③ 집중 사격 위력 +[값]%</v>
      </c>
      <c r="J156" s="20" t="n">
        <f aca="false">ROUND(장비_기본!K23*INDEX(등급!$F$5:$F$12,MATCH($D156,등급!$A$5:$A$12,0)),1)</f>
        <v>24</v>
      </c>
      <c r="K156" s="19" t="n">
        <f aca="false">INDEX(등급!$D$5:$D$12,MATCH($D156,등급!$A$5:$A$12,0))</f>
        <v>4</v>
      </c>
      <c r="L156" s="19" t="str">
        <f aca="false">IF(INDEX(등급!$H$5:$H$12,MATCH($D156,등급!$A$5:$A$12,0))=0,"-",IF(INDEX(등급!$G$5:$G$12,MATCH($D156,등급!$A$5:$A$12,0))=INDEX(등급!$H$5:$H$12,MATCH($D156,등급!$A$5:$A$12,0)),INDEX(등급!$G$5:$G$12,MATCH($D156,등급!$A$5:$A$12,0))&amp;"칸",INDEX(등급!$G$5:$G$12,MATCH($D156,등급!$A$5:$A$12,0))&amp;"~"&amp;INDEX(등급!$H$5:$H$12,MATCH($D156,등급!$A$5:$A$12,0))&amp;"칸"))</f>
        <v>1~3칸</v>
      </c>
      <c r="M156" s="19" t="str">
        <f aca="false">IF(INDEX(등급!$J$5:$J$12,MATCH($D156,등급!$A$5:$A$12,0))=0,"-",IF(INDEX(등급!$I$5:$I$12,MATCH($D156,등급!$A$5:$A$12,0))=INDEX(등급!$J$5:$J$12,MATCH($D156,등급!$A$5:$A$12,0)),INDEX(등급!$I$5:$I$12,MATCH($D156,등급!$A$5:$A$12,0))&amp;"개",INDEX(등급!$I$5:$I$12,MATCH($D156,등급!$A$5:$A$12,0))&amp;"~"&amp;INDEX(등급!$J$5:$J$12,MATCH($D156,등급!$A$5:$A$12,0))&amp;"개"))</f>
        <v>1개</v>
      </c>
      <c r="N156" s="19" t="str">
        <f aca="false">IF(INDEX(등급!$L$5:$L$12,MATCH($D156,등급!$A$5:$A$12,0))=0,"-",INDEX(등급!$K$5:$K$12,MATCH($D156,등급!$A$5:$A$12,0))&amp;"~"&amp;INDEX(등급!$L$5:$L$12,MATCH($D156,등급!$A$5:$A$12,0))&amp;"개")</f>
        <v>0~2개</v>
      </c>
    </row>
    <row r="157" customFormat="false" ht="15" hidden="false" customHeight="false" outlineLevel="0" collapsed="false">
      <c r="A157" s="19" t="str">
        <f aca="false">장비_기본!B24</f>
        <v>숲지기 가죽갑</v>
      </c>
      <c r="B157" s="19" t="str">
        <f aca="false">장비_기본!C24</f>
        <v>갑옷</v>
      </c>
      <c r="C157" s="19" t="str">
        <f aca="false">장비_기본!D24</f>
        <v>원딜</v>
      </c>
      <c r="D157" s="8" t="s">
        <v>43</v>
      </c>
      <c r="E157" s="19" t="str">
        <f aca="false">장비_기본!F24</f>
        <v>체력</v>
      </c>
      <c r="F157" s="20" t="n">
        <f aca="false">장비_기본!G24*INDEX(등급!$C$5:$C$12,MATCH($D157,등급!$A$5:$A$12,0))</f>
        <v>26</v>
      </c>
      <c r="G157" s="19" t="str">
        <f aca="false">장비_기본!H24</f>
        <v>이동 속도</v>
      </c>
      <c r="H157" s="21" t="n">
        <f aca="false">장비_기본!I24*INDEX(등급!$C$5:$C$12,MATCH($D157,등급!$A$5:$A$12,0))</f>
        <v>0.025</v>
      </c>
      <c r="I157" s="19" t="str">
        <f aca="false">장비_기본!J24</f>
        <v>② 화살비 범위 +[값]%</v>
      </c>
      <c r="J157" s="20" t="n">
        <f aca="false">ROUND(장비_기본!K24*INDEX(등급!$F$5:$F$12,MATCH($D157,등급!$A$5:$A$12,0)),1)</f>
        <v>5</v>
      </c>
      <c r="K157" s="19" t="n">
        <f aca="false">INDEX(등급!$D$5:$D$12,MATCH($D157,등급!$A$5:$A$12,0))</f>
        <v>0</v>
      </c>
      <c r="L157" s="19" t="str">
        <f aca="false">IF(INDEX(등급!$H$5:$H$12,MATCH($D157,등급!$A$5:$A$12,0))=0,"-",IF(INDEX(등급!$G$5:$G$12,MATCH($D157,등급!$A$5:$A$12,0))=INDEX(등급!$H$5:$H$12,MATCH($D157,등급!$A$5:$A$12,0)),INDEX(등급!$G$5:$G$12,MATCH($D157,등급!$A$5:$A$12,0))&amp;"칸",INDEX(등급!$G$5:$G$12,MATCH($D157,등급!$A$5:$A$12,0))&amp;"~"&amp;INDEX(등급!$H$5:$H$12,MATCH($D157,등급!$A$5:$A$12,0))&amp;"칸"))</f>
        <v>-</v>
      </c>
      <c r="M157" s="19" t="str">
        <f aca="false">IF(INDEX(등급!$J$5:$J$12,MATCH($D157,등급!$A$5:$A$12,0))=0,"-",IF(INDEX(등급!$I$5:$I$12,MATCH($D157,등급!$A$5:$A$12,0))=INDEX(등급!$J$5:$J$12,MATCH($D157,등급!$A$5:$A$12,0)),INDEX(등급!$I$5:$I$12,MATCH($D157,등급!$A$5:$A$12,0))&amp;"개",INDEX(등급!$I$5:$I$12,MATCH($D157,등급!$A$5:$A$12,0))&amp;"~"&amp;INDEX(등급!$J$5:$J$12,MATCH($D157,등급!$A$5:$A$12,0))&amp;"개"))</f>
        <v>-</v>
      </c>
      <c r="N157" s="19" t="str">
        <f aca="false">IF(INDEX(등급!$L$5:$L$12,MATCH($D157,등급!$A$5:$A$12,0))=0,"-",INDEX(등급!$K$5:$K$12,MATCH($D157,등급!$A$5:$A$12,0))&amp;"~"&amp;INDEX(등급!$L$5:$L$12,MATCH($D157,등급!$A$5:$A$12,0))&amp;"개")</f>
        <v>-</v>
      </c>
    </row>
    <row r="158" customFormat="false" ht="15" hidden="false" customHeight="false" outlineLevel="0" collapsed="false">
      <c r="A158" s="19" t="str">
        <f aca="false">장비_기본!B24</f>
        <v>숲지기 가죽갑</v>
      </c>
      <c r="B158" s="19" t="str">
        <f aca="false">장비_기본!C24</f>
        <v>갑옷</v>
      </c>
      <c r="C158" s="19" t="str">
        <f aca="false">장비_기본!D24</f>
        <v>원딜</v>
      </c>
      <c r="D158" s="8" t="s">
        <v>44</v>
      </c>
      <c r="E158" s="19" t="str">
        <f aca="false">장비_기본!F24</f>
        <v>체력</v>
      </c>
      <c r="F158" s="20" t="n">
        <f aca="false">장비_기본!G24*INDEX(등급!$C$5:$C$12,MATCH($D158,등급!$A$5:$A$12,0))</f>
        <v>37.7</v>
      </c>
      <c r="G158" s="19" t="str">
        <f aca="false">장비_기본!H24</f>
        <v>이동 속도</v>
      </c>
      <c r="H158" s="21" t="n">
        <f aca="false">장비_기본!I24*INDEX(등급!$C$5:$C$12,MATCH($D158,등급!$A$5:$A$12,0))</f>
        <v>0.03625</v>
      </c>
      <c r="I158" s="19" t="str">
        <f aca="false">장비_기본!J24</f>
        <v>② 화살비 범위 +[값]%</v>
      </c>
      <c r="J158" s="20" t="n">
        <f aca="false">ROUND(장비_기본!K24*INDEX(등급!$F$5:$F$12,MATCH($D158,등급!$A$5:$A$12,0)),1)</f>
        <v>6.8</v>
      </c>
      <c r="K158" s="19" t="n">
        <f aca="false">INDEX(등급!$D$5:$D$12,MATCH($D158,등급!$A$5:$A$12,0))</f>
        <v>0</v>
      </c>
      <c r="L158" s="19" t="str">
        <f aca="false">IF(INDEX(등급!$H$5:$H$12,MATCH($D158,등급!$A$5:$A$12,0))=0,"-",IF(INDEX(등급!$G$5:$G$12,MATCH($D158,등급!$A$5:$A$12,0))=INDEX(등급!$H$5:$H$12,MATCH($D158,등급!$A$5:$A$12,0)),INDEX(등급!$G$5:$G$12,MATCH($D158,등급!$A$5:$A$12,0))&amp;"칸",INDEX(등급!$G$5:$G$12,MATCH($D158,등급!$A$5:$A$12,0))&amp;"~"&amp;INDEX(등급!$H$5:$H$12,MATCH($D158,등급!$A$5:$A$12,0))&amp;"칸"))</f>
        <v>-</v>
      </c>
      <c r="M158" s="19" t="str">
        <f aca="false">IF(INDEX(등급!$J$5:$J$12,MATCH($D158,등급!$A$5:$A$12,0))=0,"-",IF(INDEX(등급!$I$5:$I$12,MATCH($D158,등급!$A$5:$A$12,0))=INDEX(등급!$J$5:$J$12,MATCH($D158,등급!$A$5:$A$12,0)),INDEX(등급!$I$5:$I$12,MATCH($D158,등급!$A$5:$A$12,0))&amp;"개",INDEX(등급!$I$5:$I$12,MATCH($D158,등급!$A$5:$A$12,0))&amp;"~"&amp;INDEX(등급!$J$5:$J$12,MATCH($D158,등급!$A$5:$A$12,0))&amp;"개"))</f>
        <v>-</v>
      </c>
      <c r="N158" s="19" t="str">
        <f aca="false">IF(INDEX(등급!$L$5:$L$12,MATCH($D158,등급!$A$5:$A$12,0))=0,"-",INDEX(등급!$K$5:$K$12,MATCH($D158,등급!$A$5:$A$12,0))&amp;"~"&amp;INDEX(등급!$L$5:$L$12,MATCH($D158,등급!$A$5:$A$12,0))&amp;"개")</f>
        <v>-</v>
      </c>
    </row>
    <row r="159" customFormat="false" ht="15" hidden="false" customHeight="false" outlineLevel="0" collapsed="false">
      <c r="A159" s="19" t="str">
        <f aca="false">장비_기본!B24</f>
        <v>숲지기 가죽갑</v>
      </c>
      <c r="B159" s="19" t="str">
        <f aca="false">장비_기본!C24</f>
        <v>갑옷</v>
      </c>
      <c r="C159" s="19" t="str">
        <f aca="false">장비_기본!D24</f>
        <v>원딜</v>
      </c>
      <c r="D159" s="8" t="s">
        <v>45</v>
      </c>
      <c r="E159" s="19" t="str">
        <f aca="false">장비_기본!F24</f>
        <v>체력</v>
      </c>
      <c r="F159" s="20" t="n">
        <f aca="false">장비_기본!G24*INDEX(등급!$C$5:$C$12,MATCH($D159,등급!$A$5:$A$12,0))</f>
        <v>44.2</v>
      </c>
      <c r="G159" s="19" t="str">
        <f aca="false">장비_기본!H24</f>
        <v>이동 속도</v>
      </c>
      <c r="H159" s="21" t="n">
        <f aca="false">장비_기본!I24*INDEX(등급!$C$5:$C$12,MATCH($D159,등급!$A$5:$A$12,0))</f>
        <v>0.0425</v>
      </c>
      <c r="I159" s="19" t="str">
        <f aca="false">장비_기본!J24</f>
        <v>② 화살비 범위 +[값]%</v>
      </c>
      <c r="J159" s="20" t="n">
        <f aca="false">ROUND(장비_기본!K24*INDEX(등급!$F$5:$F$12,MATCH($D159,등급!$A$5:$A$12,0)),1)</f>
        <v>7.5</v>
      </c>
      <c r="K159" s="19" t="n">
        <f aca="false">INDEX(등급!$D$5:$D$12,MATCH($D159,등급!$A$5:$A$12,0))</f>
        <v>1</v>
      </c>
      <c r="L159" s="19" t="str">
        <f aca="false">IF(INDEX(등급!$H$5:$H$12,MATCH($D159,등급!$A$5:$A$12,0))=0,"-",IF(INDEX(등급!$G$5:$G$12,MATCH($D159,등급!$A$5:$A$12,0))=INDEX(등급!$H$5:$H$12,MATCH($D159,등급!$A$5:$A$12,0)),INDEX(등급!$G$5:$G$12,MATCH($D159,등급!$A$5:$A$12,0))&amp;"칸",INDEX(등급!$G$5:$G$12,MATCH($D159,등급!$A$5:$A$12,0))&amp;"~"&amp;INDEX(등급!$H$5:$H$12,MATCH($D159,등급!$A$5:$A$12,0))&amp;"칸"))</f>
        <v>-</v>
      </c>
      <c r="M159" s="19" t="str">
        <f aca="false">IF(INDEX(등급!$J$5:$J$12,MATCH($D159,등급!$A$5:$A$12,0))=0,"-",IF(INDEX(등급!$I$5:$I$12,MATCH($D159,등급!$A$5:$A$12,0))=INDEX(등급!$J$5:$J$12,MATCH($D159,등급!$A$5:$A$12,0)),INDEX(등급!$I$5:$I$12,MATCH($D159,등급!$A$5:$A$12,0))&amp;"개",INDEX(등급!$I$5:$I$12,MATCH($D159,등급!$A$5:$A$12,0))&amp;"~"&amp;INDEX(등급!$J$5:$J$12,MATCH($D159,등급!$A$5:$A$12,0))&amp;"개"))</f>
        <v>-</v>
      </c>
      <c r="N159" s="19" t="str">
        <f aca="false">IF(INDEX(등급!$L$5:$L$12,MATCH($D159,등급!$A$5:$A$12,0))=0,"-",INDEX(등급!$K$5:$K$12,MATCH($D159,등급!$A$5:$A$12,0))&amp;"~"&amp;INDEX(등급!$L$5:$L$12,MATCH($D159,등급!$A$5:$A$12,0))&amp;"개")</f>
        <v>-</v>
      </c>
    </row>
    <row r="160" customFormat="false" ht="15" hidden="false" customHeight="false" outlineLevel="0" collapsed="false">
      <c r="A160" s="19" t="str">
        <f aca="false">장비_기본!B24</f>
        <v>숲지기 가죽갑</v>
      </c>
      <c r="B160" s="19" t="str">
        <f aca="false">장비_기본!C24</f>
        <v>갑옷</v>
      </c>
      <c r="C160" s="19" t="str">
        <f aca="false">장비_기본!D24</f>
        <v>원딜</v>
      </c>
      <c r="D160" s="8" t="s">
        <v>46</v>
      </c>
      <c r="E160" s="19" t="str">
        <f aca="false">장비_기본!F24</f>
        <v>체력</v>
      </c>
      <c r="F160" s="20" t="n">
        <f aca="false">장비_기본!G24*INDEX(등급!$C$5:$C$12,MATCH($D160,등급!$A$5:$A$12,0))</f>
        <v>54.6</v>
      </c>
      <c r="G160" s="19" t="str">
        <f aca="false">장비_기본!H24</f>
        <v>이동 속도</v>
      </c>
      <c r="H160" s="21" t="n">
        <f aca="false">장비_기본!I24*INDEX(등급!$C$5:$C$12,MATCH($D160,등급!$A$5:$A$12,0))</f>
        <v>0.0525</v>
      </c>
      <c r="I160" s="19" t="str">
        <f aca="false">장비_기본!J24</f>
        <v>② 화살비 범위 +[값]%</v>
      </c>
      <c r="J160" s="20" t="n">
        <f aca="false">ROUND(장비_기본!K24*INDEX(등급!$F$5:$F$12,MATCH($D160,등급!$A$5:$A$12,0)),1)</f>
        <v>8.8</v>
      </c>
      <c r="K160" s="19" t="n">
        <f aca="false">INDEX(등급!$D$5:$D$12,MATCH($D160,등급!$A$5:$A$12,0))</f>
        <v>2</v>
      </c>
      <c r="L160" s="19" t="str">
        <f aca="false">IF(INDEX(등급!$H$5:$H$12,MATCH($D160,등급!$A$5:$A$12,0))=0,"-",IF(INDEX(등급!$G$5:$G$12,MATCH($D160,등급!$A$5:$A$12,0))=INDEX(등급!$H$5:$H$12,MATCH($D160,등급!$A$5:$A$12,0)),INDEX(등급!$G$5:$G$12,MATCH($D160,등급!$A$5:$A$12,0))&amp;"칸",INDEX(등급!$G$5:$G$12,MATCH($D160,등급!$A$5:$A$12,0))&amp;"~"&amp;INDEX(등급!$H$5:$H$12,MATCH($D160,등급!$A$5:$A$12,0))&amp;"칸"))</f>
        <v>-</v>
      </c>
      <c r="M160" s="19" t="str">
        <f aca="false">IF(INDEX(등급!$J$5:$J$12,MATCH($D160,등급!$A$5:$A$12,0))=0,"-",IF(INDEX(등급!$I$5:$I$12,MATCH($D160,등급!$A$5:$A$12,0))=INDEX(등급!$J$5:$J$12,MATCH($D160,등급!$A$5:$A$12,0)),INDEX(등급!$I$5:$I$12,MATCH($D160,등급!$A$5:$A$12,0))&amp;"개",INDEX(등급!$I$5:$I$12,MATCH($D160,등급!$A$5:$A$12,0))&amp;"~"&amp;INDEX(등급!$J$5:$J$12,MATCH($D160,등급!$A$5:$A$12,0))&amp;"개"))</f>
        <v>-</v>
      </c>
      <c r="N160" s="19" t="str">
        <f aca="false">IF(INDEX(등급!$L$5:$L$12,MATCH($D160,등급!$A$5:$A$12,0))=0,"-",INDEX(등급!$K$5:$K$12,MATCH($D160,등급!$A$5:$A$12,0))&amp;"~"&amp;INDEX(등급!$L$5:$L$12,MATCH($D160,등급!$A$5:$A$12,0))&amp;"개")</f>
        <v>-</v>
      </c>
    </row>
    <row r="161" customFormat="false" ht="15" hidden="false" customHeight="false" outlineLevel="0" collapsed="false">
      <c r="A161" s="19" t="str">
        <f aca="false">장비_기본!B24</f>
        <v>숲지기 가죽갑</v>
      </c>
      <c r="B161" s="19" t="str">
        <f aca="false">장비_기본!C24</f>
        <v>갑옷</v>
      </c>
      <c r="C161" s="19" t="str">
        <f aca="false">장비_기본!D24</f>
        <v>원딜</v>
      </c>
      <c r="D161" s="8" t="s">
        <v>47</v>
      </c>
      <c r="E161" s="19" t="str">
        <f aca="false">장비_기본!F24</f>
        <v>체력</v>
      </c>
      <c r="F161" s="20" t="n">
        <f aca="false">장비_기본!G24*INDEX(등급!$C$5:$C$12,MATCH($D161,등급!$A$5:$A$12,0))</f>
        <v>66.3</v>
      </c>
      <c r="G161" s="19" t="str">
        <f aca="false">장비_기본!H24</f>
        <v>이동 속도</v>
      </c>
      <c r="H161" s="21" t="n">
        <f aca="false">장비_기본!I24*INDEX(등급!$C$5:$C$12,MATCH($D161,등급!$A$5:$A$12,0))</f>
        <v>0.06375</v>
      </c>
      <c r="I161" s="19" t="str">
        <f aca="false">장비_기본!J24</f>
        <v>② 화살비 범위 +[값]%</v>
      </c>
      <c r="J161" s="20" t="n">
        <f aca="false">ROUND(장비_기본!K24*INDEX(등급!$F$5:$F$12,MATCH($D161,등급!$A$5:$A$12,0)),1)</f>
        <v>10</v>
      </c>
      <c r="K161" s="19" t="n">
        <f aca="false">INDEX(등급!$D$5:$D$12,MATCH($D161,등급!$A$5:$A$12,0))</f>
        <v>3</v>
      </c>
      <c r="L161" s="19" t="str">
        <f aca="false">IF(INDEX(등급!$H$5:$H$12,MATCH($D161,등급!$A$5:$A$12,0))=0,"-",IF(INDEX(등급!$G$5:$G$12,MATCH($D161,등급!$A$5:$A$12,0))=INDEX(등급!$H$5:$H$12,MATCH($D161,등급!$A$5:$A$12,0)),INDEX(등급!$G$5:$G$12,MATCH($D161,등급!$A$5:$A$12,0))&amp;"칸",INDEX(등급!$G$5:$G$12,MATCH($D161,등급!$A$5:$A$12,0))&amp;"~"&amp;INDEX(등급!$H$5:$H$12,MATCH($D161,등급!$A$5:$A$12,0))&amp;"칸"))</f>
        <v>-</v>
      </c>
      <c r="M161" s="19" t="str">
        <f aca="false">IF(INDEX(등급!$J$5:$J$12,MATCH($D161,등급!$A$5:$A$12,0))=0,"-",IF(INDEX(등급!$I$5:$I$12,MATCH($D161,등급!$A$5:$A$12,0))=INDEX(등급!$J$5:$J$12,MATCH($D161,등급!$A$5:$A$12,0)),INDEX(등급!$I$5:$I$12,MATCH($D161,등급!$A$5:$A$12,0))&amp;"개",INDEX(등급!$I$5:$I$12,MATCH($D161,등급!$A$5:$A$12,0))&amp;"~"&amp;INDEX(등급!$J$5:$J$12,MATCH($D161,등급!$A$5:$A$12,0))&amp;"개"))</f>
        <v>-</v>
      </c>
      <c r="N161" s="19" t="str">
        <f aca="false">IF(INDEX(등급!$L$5:$L$12,MATCH($D161,등급!$A$5:$A$12,0))=0,"-",INDEX(등급!$K$5:$K$12,MATCH($D161,등급!$A$5:$A$12,0))&amp;"~"&amp;INDEX(등급!$L$5:$L$12,MATCH($D161,등급!$A$5:$A$12,0))&amp;"개")</f>
        <v>-</v>
      </c>
    </row>
    <row r="162" customFormat="false" ht="15" hidden="false" customHeight="false" outlineLevel="0" collapsed="false">
      <c r="A162" s="19" t="str">
        <f aca="false">장비_기본!B24</f>
        <v>숲지기 가죽갑</v>
      </c>
      <c r="B162" s="19" t="str">
        <f aca="false">장비_기본!C24</f>
        <v>갑옷</v>
      </c>
      <c r="C162" s="19" t="str">
        <f aca="false">장비_기본!D24</f>
        <v>원딜</v>
      </c>
      <c r="D162" s="8" t="s">
        <v>48</v>
      </c>
      <c r="E162" s="19" t="str">
        <f aca="false">장비_기본!F24</f>
        <v>체력</v>
      </c>
      <c r="F162" s="20" t="n">
        <f aca="false">장비_기본!G24*INDEX(등급!$C$5:$C$12,MATCH($D162,등급!$A$5:$A$12,0))</f>
        <v>79.3</v>
      </c>
      <c r="G162" s="19" t="str">
        <f aca="false">장비_기본!H24</f>
        <v>이동 속도</v>
      </c>
      <c r="H162" s="21" t="n">
        <f aca="false">장비_기본!I24*INDEX(등급!$C$5:$C$12,MATCH($D162,등급!$A$5:$A$12,0))</f>
        <v>0.07625</v>
      </c>
      <c r="I162" s="19" t="str">
        <f aca="false">장비_기본!J24</f>
        <v>② 화살비 범위 +[값]%</v>
      </c>
      <c r="J162" s="20" t="n">
        <f aca="false">ROUND(장비_기본!K24*INDEX(등급!$F$5:$F$12,MATCH($D162,등급!$A$5:$A$12,0)),1)</f>
        <v>11.5</v>
      </c>
      <c r="K162" s="19" t="n">
        <f aca="false">INDEX(등급!$D$5:$D$12,MATCH($D162,등급!$A$5:$A$12,0))</f>
        <v>4</v>
      </c>
      <c r="L162" s="19" t="str">
        <f aca="false">IF(INDEX(등급!$H$5:$H$12,MATCH($D162,등급!$A$5:$A$12,0))=0,"-",IF(INDEX(등급!$G$5:$G$12,MATCH($D162,등급!$A$5:$A$12,0))=INDEX(등급!$H$5:$H$12,MATCH($D162,등급!$A$5:$A$12,0)),INDEX(등급!$G$5:$G$12,MATCH($D162,등급!$A$5:$A$12,0))&amp;"칸",INDEX(등급!$G$5:$G$12,MATCH($D162,등급!$A$5:$A$12,0))&amp;"~"&amp;INDEX(등급!$H$5:$H$12,MATCH($D162,등급!$A$5:$A$12,0))&amp;"칸"))</f>
        <v>-</v>
      </c>
      <c r="M162" s="19" t="str">
        <f aca="false">IF(INDEX(등급!$J$5:$J$12,MATCH($D162,등급!$A$5:$A$12,0))=0,"-",IF(INDEX(등급!$I$5:$I$12,MATCH($D162,등급!$A$5:$A$12,0))=INDEX(등급!$J$5:$J$12,MATCH($D162,등급!$A$5:$A$12,0)),INDEX(등급!$I$5:$I$12,MATCH($D162,등급!$A$5:$A$12,0))&amp;"개",INDEX(등급!$I$5:$I$12,MATCH($D162,등급!$A$5:$A$12,0))&amp;"~"&amp;INDEX(등급!$J$5:$J$12,MATCH($D162,등급!$A$5:$A$12,0))&amp;"개"))</f>
        <v>-</v>
      </c>
      <c r="N162" s="19" t="str">
        <f aca="false">IF(INDEX(등급!$L$5:$L$12,MATCH($D162,등급!$A$5:$A$12,0))=0,"-",INDEX(등급!$K$5:$K$12,MATCH($D162,등급!$A$5:$A$12,0))&amp;"~"&amp;INDEX(등급!$L$5:$L$12,MATCH($D162,등급!$A$5:$A$12,0))&amp;"개")</f>
        <v>-</v>
      </c>
    </row>
    <row r="163" customFormat="false" ht="15" hidden="false" customHeight="false" outlineLevel="0" collapsed="false">
      <c r="A163" s="19" t="str">
        <f aca="false">장비_기본!B24</f>
        <v>숲지기 가죽갑</v>
      </c>
      <c r="B163" s="19" t="str">
        <f aca="false">장비_기본!C24</f>
        <v>갑옷</v>
      </c>
      <c r="C163" s="19" t="str">
        <f aca="false">장비_기본!D24</f>
        <v>원딜</v>
      </c>
      <c r="D163" s="8" t="s">
        <v>49</v>
      </c>
      <c r="E163" s="19" t="str">
        <f aca="false">장비_기본!F24</f>
        <v>체력</v>
      </c>
      <c r="F163" s="20" t="n">
        <f aca="false">장비_기본!G24*INDEX(등급!$C$5:$C$12,MATCH($D163,등급!$A$5:$A$12,0))</f>
        <v>83.2</v>
      </c>
      <c r="G163" s="19" t="str">
        <f aca="false">장비_기본!H24</f>
        <v>이동 속도</v>
      </c>
      <c r="H163" s="21" t="n">
        <f aca="false">장비_기본!I24*INDEX(등급!$C$5:$C$12,MATCH($D163,등급!$A$5:$A$12,0))</f>
        <v>0.08</v>
      </c>
      <c r="I163" s="19" t="str">
        <f aca="false">장비_기본!J24</f>
        <v>② 화살비 범위 +[값]%</v>
      </c>
      <c r="J163" s="20" t="n">
        <f aca="false">ROUND(장비_기본!K24*INDEX(등급!$F$5:$F$12,MATCH($D163,등급!$A$5:$A$12,0)),1)</f>
        <v>13.3</v>
      </c>
      <c r="K163" s="19" t="n">
        <f aca="false">INDEX(등급!$D$5:$D$12,MATCH($D163,등급!$A$5:$A$12,0))</f>
        <v>4</v>
      </c>
      <c r="L163" s="19" t="str">
        <f aca="false">IF(INDEX(등급!$H$5:$H$12,MATCH($D163,등급!$A$5:$A$12,0))=0,"-",IF(INDEX(등급!$G$5:$G$12,MATCH($D163,등급!$A$5:$A$12,0))=INDEX(등급!$H$5:$H$12,MATCH($D163,등급!$A$5:$A$12,0)),INDEX(등급!$G$5:$G$12,MATCH($D163,등급!$A$5:$A$12,0))&amp;"칸",INDEX(등급!$G$5:$G$12,MATCH($D163,등급!$A$5:$A$12,0))&amp;"~"&amp;INDEX(등급!$H$5:$H$12,MATCH($D163,등급!$A$5:$A$12,0))&amp;"칸"))</f>
        <v>1칸</v>
      </c>
      <c r="M163" s="19" t="str">
        <f aca="false">IF(INDEX(등급!$J$5:$J$12,MATCH($D163,등급!$A$5:$A$12,0))=0,"-",IF(INDEX(등급!$I$5:$I$12,MATCH($D163,등급!$A$5:$A$12,0))=INDEX(등급!$J$5:$J$12,MATCH($D163,등급!$A$5:$A$12,0)),INDEX(등급!$I$5:$I$12,MATCH($D163,등급!$A$5:$A$12,0))&amp;"개",INDEX(등급!$I$5:$I$12,MATCH($D163,등급!$A$5:$A$12,0))&amp;"~"&amp;INDEX(등급!$J$5:$J$12,MATCH($D163,등급!$A$5:$A$12,0))&amp;"개"))</f>
        <v>0~1개</v>
      </c>
      <c r="N163" s="19" t="str">
        <f aca="false">IF(INDEX(등급!$L$5:$L$12,MATCH($D163,등급!$A$5:$A$12,0))=0,"-",INDEX(등급!$K$5:$K$12,MATCH($D163,등급!$A$5:$A$12,0))&amp;"~"&amp;INDEX(등급!$L$5:$L$12,MATCH($D163,등급!$A$5:$A$12,0))&amp;"개")</f>
        <v>0~1개</v>
      </c>
    </row>
    <row r="164" customFormat="false" ht="15" hidden="false" customHeight="false" outlineLevel="0" collapsed="false">
      <c r="A164" s="19" t="str">
        <f aca="false">장비_기본!B24</f>
        <v>숲지기 가죽갑</v>
      </c>
      <c r="B164" s="19" t="str">
        <f aca="false">장비_기본!C24</f>
        <v>갑옷</v>
      </c>
      <c r="C164" s="19" t="str">
        <f aca="false">장비_기본!D24</f>
        <v>원딜</v>
      </c>
      <c r="D164" s="8" t="s">
        <v>51</v>
      </c>
      <c r="E164" s="19" t="str">
        <f aca="false">장비_기본!F24</f>
        <v>체력</v>
      </c>
      <c r="F164" s="20" t="n">
        <f aca="false">장비_기본!G24*INDEX(등급!$C$5:$C$12,MATCH($D164,등급!$A$5:$A$12,0))</f>
        <v>85.8</v>
      </c>
      <c r="G164" s="19" t="str">
        <f aca="false">장비_기본!H24</f>
        <v>이동 속도</v>
      </c>
      <c r="H164" s="21" t="n">
        <f aca="false">장비_기본!I24*INDEX(등급!$C$5:$C$12,MATCH($D164,등급!$A$5:$A$12,0))</f>
        <v>0.0825</v>
      </c>
      <c r="I164" s="19" t="str">
        <f aca="false">장비_기본!J24</f>
        <v>② 화살비 범위 +[값]%</v>
      </c>
      <c r="J164" s="20" t="n">
        <f aca="false">ROUND(장비_기본!K24*INDEX(등급!$F$5:$F$12,MATCH($D164,등급!$A$5:$A$12,0)),1)</f>
        <v>15</v>
      </c>
      <c r="K164" s="19" t="n">
        <f aca="false">INDEX(등급!$D$5:$D$12,MATCH($D164,등급!$A$5:$A$12,0))</f>
        <v>4</v>
      </c>
      <c r="L164" s="19" t="str">
        <f aca="false">IF(INDEX(등급!$H$5:$H$12,MATCH($D164,등급!$A$5:$A$12,0))=0,"-",IF(INDEX(등급!$G$5:$G$12,MATCH($D164,등급!$A$5:$A$12,0))=INDEX(등급!$H$5:$H$12,MATCH($D164,등급!$A$5:$A$12,0)),INDEX(등급!$G$5:$G$12,MATCH($D164,등급!$A$5:$A$12,0))&amp;"칸",INDEX(등급!$G$5:$G$12,MATCH($D164,등급!$A$5:$A$12,0))&amp;"~"&amp;INDEX(등급!$H$5:$H$12,MATCH($D164,등급!$A$5:$A$12,0))&amp;"칸"))</f>
        <v>1~3칸</v>
      </c>
      <c r="M164" s="19" t="str">
        <f aca="false">IF(INDEX(등급!$J$5:$J$12,MATCH($D164,등급!$A$5:$A$12,0))=0,"-",IF(INDEX(등급!$I$5:$I$12,MATCH($D164,등급!$A$5:$A$12,0))=INDEX(등급!$J$5:$J$12,MATCH($D164,등급!$A$5:$A$12,0)),INDEX(등급!$I$5:$I$12,MATCH($D164,등급!$A$5:$A$12,0))&amp;"개",INDEX(등급!$I$5:$I$12,MATCH($D164,등급!$A$5:$A$12,0))&amp;"~"&amp;INDEX(등급!$J$5:$J$12,MATCH($D164,등급!$A$5:$A$12,0))&amp;"개"))</f>
        <v>1개</v>
      </c>
      <c r="N164" s="19" t="str">
        <f aca="false">IF(INDEX(등급!$L$5:$L$12,MATCH($D164,등급!$A$5:$A$12,0))=0,"-",INDEX(등급!$K$5:$K$12,MATCH($D164,등급!$A$5:$A$12,0))&amp;"~"&amp;INDEX(등급!$L$5:$L$12,MATCH($D164,등급!$A$5:$A$12,0))&amp;"개")</f>
        <v>0~2개</v>
      </c>
    </row>
    <row r="165" customFormat="false" ht="15" hidden="false" customHeight="false" outlineLevel="0" collapsed="false">
      <c r="A165" s="19" t="str">
        <f aca="false">장비_기본!B25</f>
        <v>그림자 망토</v>
      </c>
      <c r="B165" s="19" t="str">
        <f aca="false">장비_기본!C25</f>
        <v>갑옷</v>
      </c>
      <c r="C165" s="19" t="str">
        <f aca="false">장비_기본!D25</f>
        <v>원딜</v>
      </c>
      <c r="D165" s="8" t="s">
        <v>43</v>
      </c>
      <c r="E165" s="19" t="str">
        <f aca="false">장비_기본!F25</f>
        <v>체력</v>
      </c>
      <c r="F165" s="20" t="n">
        <f aca="false">장비_기본!G25*INDEX(등급!$C$5:$C$12,MATCH($D165,등급!$A$5:$A$12,0))</f>
        <v>26</v>
      </c>
      <c r="G165" s="19" t="str">
        <f aca="false">장비_기본!H25</f>
        <v>이동 속도</v>
      </c>
      <c r="H165" s="21" t="n">
        <f aca="false">장비_기본!I25*INDEX(등급!$C$5:$C$12,MATCH($D165,등급!$A$5:$A$12,0))</f>
        <v>0.025</v>
      </c>
      <c r="I165" s="19" t="str">
        <f aca="false">장비_기본!J25</f>
        <v>적이 70px 안에 있으면 받는 피해 -[값]%</v>
      </c>
      <c r="J165" s="20" t="n">
        <f aca="false">ROUND(장비_기본!K25*INDEX(등급!$F$5:$F$12,MATCH($D165,등급!$A$5:$A$12,0)),1)</f>
        <v>6</v>
      </c>
      <c r="K165" s="19" t="n">
        <f aca="false">INDEX(등급!$D$5:$D$12,MATCH($D165,등급!$A$5:$A$12,0))</f>
        <v>0</v>
      </c>
      <c r="L165" s="19" t="str">
        <f aca="false">IF(INDEX(등급!$H$5:$H$12,MATCH($D165,등급!$A$5:$A$12,0))=0,"-",IF(INDEX(등급!$G$5:$G$12,MATCH($D165,등급!$A$5:$A$12,0))=INDEX(등급!$H$5:$H$12,MATCH($D165,등급!$A$5:$A$12,0)),INDEX(등급!$G$5:$G$12,MATCH($D165,등급!$A$5:$A$12,0))&amp;"칸",INDEX(등급!$G$5:$G$12,MATCH($D165,등급!$A$5:$A$12,0))&amp;"~"&amp;INDEX(등급!$H$5:$H$12,MATCH($D165,등급!$A$5:$A$12,0))&amp;"칸"))</f>
        <v>-</v>
      </c>
      <c r="M165" s="19" t="str">
        <f aca="false">IF(INDEX(등급!$J$5:$J$12,MATCH($D165,등급!$A$5:$A$12,0))=0,"-",IF(INDEX(등급!$I$5:$I$12,MATCH($D165,등급!$A$5:$A$12,0))=INDEX(등급!$J$5:$J$12,MATCH($D165,등급!$A$5:$A$12,0)),INDEX(등급!$I$5:$I$12,MATCH($D165,등급!$A$5:$A$12,0))&amp;"개",INDEX(등급!$I$5:$I$12,MATCH($D165,등급!$A$5:$A$12,0))&amp;"~"&amp;INDEX(등급!$J$5:$J$12,MATCH($D165,등급!$A$5:$A$12,0))&amp;"개"))</f>
        <v>-</v>
      </c>
      <c r="N165" s="19" t="str">
        <f aca="false">IF(INDEX(등급!$L$5:$L$12,MATCH($D165,등급!$A$5:$A$12,0))=0,"-",INDEX(등급!$K$5:$K$12,MATCH($D165,등급!$A$5:$A$12,0))&amp;"~"&amp;INDEX(등급!$L$5:$L$12,MATCH($D165,등급!$A$5:$A$12,0))&amp;"개")</f>
        <v>-</v>
      </c>
    </row>
    <row r="166" customFormat="false" ht="15" hidden="false" customHeight="false" outlineLevel="0" collapsed="false">
      <c r="A166" s="19" t="str">
        <f aca="false">장비_기본!B25</f>
        <v>그림자 망토</v>
      </c>
      <c r="B166" s="19" t="str">
        <f aca="false">장비_기본!C25</f>
        <v>갑옷</v>
      </c>
      <c r="C166" s="19" t="str">
        <f aca="false">장비_기본!D25</f>
        <v>원딜</v>
      </c>
      <c r="D166" s="8" t="s">
        <v>44</v>
      </c>
      <c r="E166" s="19" t="str">
        <f aca="false">장비_기본!F25</f>
        <v>체력</v>
      </c>
      <c r="F166" s="20" t="n">
        <f aca="false">장비_기본!G25*INDEX(등급!$C$5:$C$12,MATCH($D166,등급!$A$5:$A$12,0))</f>
        <v>37.7</v>
      </c>
      <c r="G166" s="19" t="str">
        <f aca="false">장비_기본!H25</f>
        <v>이동 속도</v>
      </c>
      <c r="H166" s="21" t="n">
        <f aca="false">장비_기본!I25*INDEX(등급!$C$5:$C$12,MATCH($D166,등급!$A$5:$A$12,0))</f>
        <v>0.03625</v>
      </c>
      <c r="I166" s="19" t="str">
        <f aca="false">장비_기본!J25</f>
        <v>적이 70px 안에 있으면 받는 피해 -[값]%</v>
      </c>
      <c r="J166" s="20" t="n">
        <f aca="false">ROUND(장비_기본!K25*INDEX(등급!$F$5:$F$12,MATCH($D166,등급!$A$5:$A$12,0)),1)</f>
        <v>8.1</v>
      </c>
      <c r="K166" s="19" t="n">
        <f aca="false">INDEX(등급!$D$5:$D$12,MATCH($D166,등급!$A$5:$A$12,0))</f>
        <v>0</v>
      </c>
      <c r="L166" s="19" t="str">
        <f aca="false">IF(INDEX(등급!$H$5:$H$12,MATCH($D166,등급!$A$5:$A$12,0))=0,"-",IF(INDEX(등급!$G$5:$G$12,MATCH($D166,등급!$A$5:$A$12,0))=INDEX(등급!$H$5:$H$12,MATCH($D166,등급!$A$5:$A$12,0)),INDEX(등급!$G$5:$G$12,MATCH($D166,등급!$A$5:$A$12,0))&amp;"칸",INDEX(등급!$G$5:$G$12,MATCH($D166,등급!$A$5:$A$12,0))&amp;"~"&amp;INDEX(등급!$H$5:$H$12,MATCH($D166,등급!$A$5:$A$12,0))&amp;"칸"))</f>
        <v>-</v>
      </c>
      <c r="M166" s="19" t="str">
        <f aca="false">IF(INDEX(등급!$J$5:$J$12,MATCH($D166,등급!$A$5:$A$12,0))=0,"-",IF(INDEX(등급!$I$5:$I$12,MATCH($D166,등급!$A$5:$A$12,0))=INDEX(등급!$J$5:$J$12,MATCH($D166,등급!$A$5:$A$12,0)),INDEX(등급!$I$5:$I$12,MATCH($D166,등급!$A$5:$A$12,0))&amp;"개",INDEX(등급!$I$5:$I$12,MATCH($D166,등급!$A$5:$A$12,0))&amp;"~"&amp;INDEX(등급!$J$5:$J$12,MATCH($D166,등급!$A$5:$A$12,0))&amp;"개"))</f>
        <v>-</v>
      </c>
      <c r="N166" s="19" t="str">
        <f aca="false">IF(INDEX(등급!$L$5:$L$12,MATCH($D166,등급!$A$5:$A$12,0))=0,"-",INDEX(등급!$K$5:$K$12,MATCH($D166,등급!$A$5:$A$12,0))&amp;"~"&amp;INDEX(등급!$L$5:$L$12,MATCH($D166,등급!$A$5:$A$12,0))&amp;"개")</f>
        <v>-</v>
      </c>
    </row>
    <row r="167" customFormat="false" ht="15" hidden="false" customHeight="false" outlineLevel="0" collapsed="false">
      <c r="A167" s="19" t="str">
        <f aca="false">장비_기본!B25</f>
        <v>그림자 망토</v>
      </c>
      <c r="B167" s="19" t="str">
        <f aca="false">장비_기본!C25</f>
        <v>갑옷</v>
      </c>
      <c r="C167" s="19" t="str">
        <f aca="false">장비_기본!D25</f>
        <v>원딜</v>
      </c>
      <c r="D167" s="8" t="s">
        <v>45</v>
      </c>
      <c r="E167" s="19" t="str">
        <f aca="false">장비_기본!F25</f>
        <v>체력</v>
      </c>
      <c r="F167" s="20" t="n">
        <f aca="false">장비_기본!G25*INDEX(등급!$C$5:$C$12,MATCH($D167,등급!$A$5:$A$12,0))</f>
        <v>44.2</v>
      </c>
      <c r="G167" s="19" t="str">
        <f aca="false">장비_기본!H25</f>
        <v>이동 속도</v>
      </c>
      <c r="H167" s="21" t="n">
        <f aca="false">장비_기본!I25*INDEX(등급!$C$5:$C$12,MATCH($D167,등급!$A$5:$A$12,0))</f>
        <v>0.0425</v>
      </c>
      <c r="I167" s="19" t="str">
        <f aca="false">장비_기본!J25</f>
        <v>적이 70px 안에 있으면 받는 피해 -[값]%</v>
      </c>
      <c r="J167" s="20" t="n">
        <f aca="false">ROUND(장비_기본!K25*INDEX(등급!$F$5:$F$12,MATCH($D167,등급!$A$5:$A$12,0)),1)</f>
        <v>9</v>
      </c>
      <c r="K167" s="19" t="n">
        <f aca="false">INDEX(등급!$D$5:$D$12,MATCH($D167,등급!$A$5:$A$12,0))</f>
        <v>1</v>
      </c>
      <c r="L167" s="19" t="str">
        <f aca="false">IF(INDEX(등급!$H$5:$H$12,MATCH($D167,등급!$A$5:$A$12,0))=0,"-",IF(INDEX(등급!$G$5:$G$12,MATCH($D167,등급!$A$5:$A$12,0))=INDEX(등급!$H$5:$H$12,MATCH($D167,등급!$A$5:$A$12,0)),INDEX(등급!$G$5:$G$12,MATCH($D167,등급!$A$5:$A$12,0))&amp;"칸",INDEX(등급!$G$5:$G$12,MATCH($D167,등급!$A$5:$A$12,0))&amp;"~"&amp;INDEX(등급!$H$5:$H$12,MATCH($D167,등급!$A$5:$A$12,0))&amp;"칸"))</f>
        <v>-</v>
      </c>
      <c r="M167" s="19" t="str">
        <f aca="false">IF(INDEX(등급!$J$5:$J$12,MATCH($D167,등급!$A$5:$A$12,0))=0,"-",IF(INDEX(등급!$I$5:$I$12,MATCH($D167,등급!$A$5:$A$12,0))=INDEX(등급!$J$5:$J$12,MATCH($D167,등급!$A$5:$A$12,0)),INDEX(등급!$I$5:$I$12,MATCH($D167,등급!$A$5:$A$12,0))&amp;"개",INDEX(등급!$I$5:$I$12,MATCH($D167,등급!$A$5:$A$12,0))&amp;"~"&amp;INDEX(등급!$J$5:$J$12,MATCH($D167,등급!$A$5:$A$12,0))&amp;"개"))</f>
        <v>-</v>
      </c>
      <c r="N167" s="19" t="str">
        <f aca="false">IF(INDEX(등급!$L$5:$L$12,MATCH($D167,등급!$A$5:$A$12,0))=0,"-",INDEX(등급!$K$5:$K$12,MATCH($D167,등급!$A$5:$A$12,0))&amp;"~"&amp;INDEX(등급!$L$5:$L$12,MATCH($D167,등급!$A$5:$A$12,0))&amp;"개")</f>
        <v>-</v>
      </c>
    </row>
    <row r="168" customFormat="false" ht="15" hidden="false" customHeight="false" outlineLevel="0" collapsed="false">
      <c r="A168" s="19" t="str">
        <f aca="false">장비_기본!B25</f>
        <v>그림자 망토</v>
      </c>
      <c r="B168" s="19" t="str">
        <f aca="false">장비_기본!C25</f>
        <v>갑옷</v>
      </c>
      <c r="C168" s="19" t="str">
        <f aca="false">장비_기본!D25</f>
        <v>원딜</v>
      </c>
      <c r="D168" s="8" t="s">
        <v>46</v>
      </c>
      <c r="E168" s="19" t="str">
        <f aca="false">장비_기본!F25</f>
        <v>체력</v>
      </c>
      <c r="F168" s="20" t="n">
        <f aca="false">장비_기본!G25*INDEX(등급!$C$5:$C$12,MATCH($D168,등급!$A$5:$A$12,0))</f>
        <v>54.6</v>
      </c>
      <c r="G168" s="19" t="str">
        <f aca="false">장비_기본!H25</f>
        <v>이동 속도</v>
      </c>
      <c r="H168" s="21" t="n">
        <f aca="false">장비_기본!I25*INDEX(등급!$C$5:$C$12,MATCH($D168,등급!$A$5:$A$12,0))</f>
        <v>0.0525</v>
      </c>
      <c r="I168" s="19" t="str">
        <f aca="false">장비_기본!J25</f>
        <v>적이 70px 안에 있으면 받는 피해 -[값]%</v>
      </c>
      <c r="J168" s="20" t="n">
        <f aca="false">ROUND(장비_기본!K25*INDEX(등급!$F$5:$F$12,MATCH($D168,등급!$A$5:$A$12,0)),1)</f>
        <v>10.5</v>
      </c>
      <c r="K168" s="19" t="n">
        <f aca="false">INDEX(등급!$D$5:$D$12,MATCH($D168,등급!$A$5:$A$12,0))</f>
        <v>2</v>
      </c>
      <c r="L168" s="19" t="str">
        <f aca="false">IF(INDEX(등급!$H$5:$H$12,MATCH($D168,등급!$A$5:$A$12,0))=0,"-",IF(INDEX(등급!$G$5:$G$12,MATCH($D168,등급!$A$5:$A$12,0))=INDEX(등급!$H$5:$H$12,MATCH($D168,등급!$A$5:$A$12,0)),INDEX(등급!$G$5:$G$12,MATCH($D168,등급!$A$5:$A$12,0))&amp;"칸",INDEX(등급!$G$5:$G$12,MATCH($D168,등급!$A$5:$A$12,0))&amp;"~"&amp;INDEX(등급!$H$5:$H$12,MATCH($D168,등급!$A$5:$A$12,0))&amp;"칸"))</f>
        <v>-</v>
      </c>
      <c r="M168" s="19" t="str">
        <f aca="false">IF(INDEX(등급!$J$5:$J$12,MATCH($D168,등급!$A$5:$A$12,0))=0,"-",IF(INDEX(등급!$I$5:$I$12,MATCH($D168,등급!$A$5:$A$12,0))=INDEX(등급!$J$5:$J$12,MATCH($D168,등급!$A$5:$A$12,0)),INDEX(등급!$I$5:$I$12,MATCH($D168,등급!$A$5:$A$12,0))&amp;"개",INDEX(등급!$I$5:$I$12,MATCH($D168,등급!$A$5:$A$12,0))&amp;"~"&amp;INDEX(등급!$J$5:$J$12,MATCH($D168,등급!$A$5:$A$12,0))&amp;"개"))</f>
        <v>-</v>
      </c>
      <c r="N168" s="19" t="str">
        <f aca="false">IF(INDEX(등급!$L$5:$L$12,MATCH($D168,등급!$A$5:$A$12,0))=0,"-",INDEX(등급!$K$5:$K$12,MATCH($D168,등급!$A$5:$A$12,0))&amp;"~"&amp;INDEX(등급!$L$5:$L$12,MATCH($D168,등급!$A$5:$A$12,0))&amp;"개")</f>
        <v>-</v>
      </c>
    </row>
    <row r="169" customFormat="false" ht="15" hidden="false" customHeight="false" outlineLevel="0" collapsed="false">
      <c r="A169" s="19" t="str">
        <f aca="false">장비_기본!B25</f>
        <v>그림자 망토</v>
      </c>
      <c r="B169" s="19" t="str">
        <f aca="false">장비_기본!C25</f>
        <v>갑옷</v>
      </c>
      <c r="C169" s="19" t="str">
        <f aca="false">장비_기본!D25</f>
        <v>원딜</v>
      </c>
      <c r="D169" s="8" t="s">
        <v>47</v>
      </c>
      <c r="E169" s="19" t="str">
        <f aca="false">장비_기본!F25</f>
        <v>체력</v>
      </c>
      <c r="F169" s="20" t="n">
        <f aca="false">장비_기본!G25*INDEX(등급!$C$5:$C$12,MATCH($D169,등급!$A$5:$A$12,0))</f>
        <v>66.3</v>
      </c>
      <c r="G169" s="19" t="str">
        <f aca="false">장비_기본!H25</f>
        <v>이동 속도</v>
      </c>
      <c r="H169" s="21" t="n">
        <f aca="false">장비_기본!I25*INDEX(등급!$C$5:$C$12,MATCH($D169,등급!$A$5:$A$12,0))</f>
        <v>0.06375</v>
      </c>
      <c r="I169" s="19" t="str">
        <f aca="false">장비_기본!J25</f>
        <v>적이 70px 안에 있으면 받는 피해 -[값]%</v>
      </c>
      <c r="J169" s="20" t="n">
        <f aca="false">ROUND(장비_기본!K25*INDEX(등급!$F$5:$F$12,MATCH($D169,등급!$A$5:$A$12,0)),1)</f>
        <v>12</v>
      </c>
      <c r="K169" s="19" t="n">
        <f aca="false">INDEX(등급!$D$5:$D$12,MATCH($D169,등급!$A$5:$A$12,0))</f>
        <v>3</v>
      </c>
      <c r="L169" s="19" t="str">
        <f aca="false">IF(INDEX(등급!$H$5:$H$12,MATCH($D169,등급!$A$5:$A$12,0))=0,"-",IF(INDEX(등급!$G$5:$G$12,MATCH($D169,등급!$A$5:$A$12,0))=INDEX(등급!$H$5:$H$12,MATCH($D169,등급!$A$5:$A$12,0)),INDEX(등급!$G$5:$G$12,MATCH($D169,등급!$A$5:$A$12,0))&amp;"칸",INDEX(등급!$G$5:$G$12,MATCH($D169,등급!$A$5:$A$12,0))&amp;"~"&amp;INDEX(등급!$H$5:$H$12,MATCH($D169,등급!$A$5:$A$12,0))&amp;"칸"))</f>
        <v>-</v>
      </c>
      <c r="M169" s="19" t="str">
        <f aca="false">IF(INDEX(등급!$J$5:$J$12,MATCH($D169,등급!$A$5:$A$12,0))=0,"-",IF(INDEX(등급!$I$5:$I$12,MATCH($D169,등급!$A$5:$A$12,0))=INDEX(등급!$J$5:$J$12,MATCH($D169,등급!$A$5:$A$12,0)),INDEX(등급!$I$5:$I$12,MATCH($D169,등급!$A$5:$A$12,0))&amp;"개",INDEX(등급!$I$5:$I$12,MATCH($D169,등급!$A$5:$A$12,0))&amp;"~"&amp;INDEX(등급!$J$5:$J$12,MATCH($D169,등급!$A$5:$A$12,0))&amp;"개"))</f>
        <v>-</v>
      </c>
      <c r="N169" s="19" t="str">
        <f aca="false">IF(INDEX(등급!$L$5:$L$12,MATCH($D169,등급!$A$5:$A$12,0))=0,"-",INDEX(등급!$K$5:$K$12,MATCH($D169,등급!$A$5:$A$12,0))&amp;"~"&amp;INDEX(등급!$L$5:$L$12,MATCH($D169,등급!$A$5:$A$12,0))&amp;"개")</f>
        <v>-</v>
      </c>
    </row>
    <row r="170" customFormat="false" ht="15" hidden="false" customHeight="false" outlineLevel="0" collapsed="false">
      <c r="A170" s="19" t="str">
        <f aca="false">장비_기본!B25</f>
        <v>그림자 망토</v>
      </c>
      <c r="B170" s="19" t="str">
        <f aca="false">장비_기본!C25</f>
        <v>갑옷</v>
      </c>
      <c r="C170" s="19" t="str">
        <f aca="false">장비_기본!D25</f>
        <v>원딜</v>
      </c>
      <c r="D170" s="8" t="s">
        <v>48</v>
      </c>
      <c r="E170" s="19" t="str">
        <f aca="false">장비_기본!F25</f>
        <v>체력</v>
      </c>
      <c r="F170" s="20" t="n">
        <f aca="false">장비_기본!G25*INDEX(등급!$C$5:$C$12,MATCH($D170,등급!$A$5:$A$12,0))</f>
        <v>79.3</v>
      </c>
      <c r="G170" s="19" t="str">
        <f aca="false">장비_기본!H25</f>
        <v>이동 속도</v>
      </c>
      <c r="H170" s="21" t="n">
        <f aca="false">장비_기본!I25*INDEX(등급!$C$5:$C$12,MATCH($D170,등급!$A$5:$A$12,0))</f>
        <v>0.07625</v>
      </c>
      <c r="I170" s="19" t="str">
        <f aca="false">장비_기본!J25</f>
        <v>적이 70px 안에 있으면 받는 피해 -[값]%</v>
      </c>
      <c r="J170" s="20" t="n">
        <f aca="false">ROUND(장비_기본!K25*INDEX(등급!$F$5:$F$12,MATCH($D170,등급!$A$5:$A$12,0)),1)</f>
        <v>13.8</v>
      </c>
      <c r="K170" s="19" t="n">
        <f aca="false">INDEX(등급!$D$5:$D$12,MATCH($D170,등급!$A$5:$A$12,0))</f>
        <v>4</v>
      </c>
      <c r="L170" s="19" t="str">
        <f aca="false">IF(INDEX(등급!$H$5:$H$12,MATCH($D170,등급!$A$5:$A$12,0))=0,"-",IF(INDEX(등급!$G$5:$G$12,MATCH($D170,등급!$A$5:$A$12,0))=INDEX(등급!$H$5:$H$12,MATCH($D170,등급!$A$5:$A$12,0)),INDEX(등급!$G$5:$G$12,MATCH($D170,등급!$A$5:$A$12,0))&amp;"칸",INDEX(등급!$G$5:$G$12,MATCH($D170,등급!$A$5:$A$12,0))&amp;"~"&amp;INDEX(등급!$H$5:$H$12,MATCH($D170,등급!$A$5:$A$12,0))&amp;"칸"))</f>
        <v>-</v>
      </c>
      <c r="M170" s="19" t="str">
        <f aca="false">IF(INDEX(등급!$J$5:$J$12,MATCH($D170,등급!$A$5:$A$12,0))=0,"-",IF(INDEX(등급!$I$5:$I$12,MATCH($D170,등급!$A$5:$A$12,0))=INDEX(등급!$J$5:$J$12,MATCH($D170,등급!$A$5:$A$12,0)),INDEX(등급!$I$5:$I$12,MATCH($D170,등급!$A$5:$A$12,0))&amp;"개",INDEX(등급!$I$5:$I$12,MATCH($D170,등급!$A$5:$A$12,0))&amp;"~"&amp;INDEX(등급!$J$5:$J$12,MATCH($D170,등급!$A$5:$A$12,0))&amp;"개"))</f>
        <v>-</v>
      </c>
      <c r="N170" s="19" t="str">
        <f aca="false">IF(INDEX(등급!$L$5:$L$12,MATCH($D170,등급!$A$5:$A$12,0))=0,"-",INDEX(등급!$K$5:$K$12,MATCH($D170,등급!$A$5:$A$12,0))&amp;"~"&amp;INDEX(등급!$L$5:$L$12,MATCH($D170,등급!$A$5:$A$12,0))&amp;"개")</f>
        <v>-</v>
      </c>
    </row>
    <row r="171" customFormat="false" ht="15" hidden="false" customHeight="false" outlineLevel="0" collapsed="false">
      <c r="A171" s="19" t="str">
        <f aca="false">장비_기본!B25</f>
        <v>그림자 망토</v>
      </c>
      <c r="B171" s="19" t="str">
        <f aca="false">장비_기본!C25</f>
        <v>갑옷</v>
      </c>
      <c r="C171" s="19" t="str">
        <f aca="false">장비_기본!D25</f>
        <v>원딜</v>
      </c>
      <c r="D171" s="8" t="s">
        <v>49</v>
      </c>
      <c r="E171" s="19" t="str">
        <f aca="false">장비_기본!F25</f>
        <v>체력</v>
      </c>
      <c r="F171" s="20" t="n">
        <f aca="false">장비_기본!G25*INDEX(등급!$C$5:$C$12,MATCH($D171,등급!$A$5:$A$12,0))</f>
        <v>83.2</v>
      </c>
      <c r="G171" s="19" t="str">
        <f aca="false">장비_기본!H25</f>
        <v>이동 속도</v>
      </c>
      <c r="H171" s="21" t="n">
        <f aca="false">장비_기본!I25*INDEX(등급!$C$5:$C$12,MATCH($D171,등급!$A$5:$A$12,0))</f>
        <v>0.08</v>
      </c>
      <c r="I171" s="19" t="str">
        <f aca="false">장비_기본!J25</f>
        <v>적이 70px 안에 있으면 받는 피해 -[값]%</v>
      </c>
      <c r="J171" s="20" t="n">
        <f aca="false">ROUND(장비_기본!K25*INDEX(등급!$F$5:$F$12,MATCH($D171,등급!$A$5:$A$12,0)),1)</f>
        <v>15.9</v>
      </c>
      <c r="K171" s="19" t="n">
        <f aca="false">INDEX(등급!$D$5:$D$12,MATCH($D171,등급!$A$5:$A$12,0))</f>
        <v>4</v>
      </c>
      <c r="L171" s="19" t="str">
        <f aca="false">IF(INDEX(등급!$H$5:$H$12,MATCH($D171,등급!$A$5:$A$12,0))=0,"-",IF(INDEX(등급!$G$5:$G$12,MATCH($D171,등급!$A$5:$A$12,0))=INDEX(등급!$H$5:$H$12,MATCH($D171,등급!$A$5:$A$12,0)),INDEX(등급!$G$5:$G$12,MATCH($D171,등급!$A$5:$A$12,0))&amp;"칸",INDEX(등급!$G$5:$G$12,MATCH($D171,등급!$A$5:$A$12,0))&amp;"~"&amp;INDEX(등급!$H$5:$H$12,MATCH($D171,등급!$A$5:$A$12,0))&amp;"칸"))</f>
        <v>1칸</v>
      </c>
      <c r="M171" s="19" t="str">
        <f aca="false">IF(INDEX(등급!$J$5:$J$12,MATCH($D171,등급!$A$5:$A$12,0))=0,"-",IF(INDEX(등급!$I$5:$I$12,MATCH($D171,등급!$A$5:$A$12,0))=INDEX(등급!$J$5:$J$12,MATCH($D171,등급!$A$5:$A$12,0)),INDEX(등급!$I$5:$I$12,MATCH($D171,등급!$A$5:$A$12,0))&amp;"개",INDEX(등급!$I$5:$I$12,MATCH($D171,등급!$A$5:$A$12,0))&amp;"~"&amp;INDEX(등급!$J$5:$J$12,MATCH($D171,등급!$A$5:$A$12,0))&amp;"개"))</f>
        <v>0~1개</v>
      </c>
      <c r="N171" s="19" t="str">
        <f aca="false">IF(INDEX(등급!$L$5:$L$12,MATCH($D171,등급!$A$5:$A$12,0))=0,"-",INDEX(등급!$K$5:$K$12,MATCH($D171,등급!$A$5:$A$12,0))&amp;"~"&amp;INDEX(등급!$L$5:$L$12,MATCH($D171,등급!$A$5:$A$12,0))&amp;"개")</f>
        <v>0~1개</v>
      </c>
    </row>
    <row r="172" customFormat="false" ht="15" hidden="false" customHeight="false" outlineLevel="0" collapsed="false">
      <c r="A172" s="19" t="str">
        <f aca="false">장비_기본!B25</f>
        <v>그림자 망토</v>
      </c>
      <c r="B172" s="19" t="str">
        <f aca="false">장비_기본!C25</f>
        <v>갑옷</v>
      </c>
      <c r="C172" s="19" t="str">
        <f aca="false">장비_기본!D25</f>
        <v>원딜</v>
      </c>
      <c r="D172" s="8" t="s">
        <v>51</v>
      </c>
      <c r="E172" s="19" t="str">
        <f aca="false">장비_기본!F25</f>
        <v>체력</v>
      </c>
      <c r="F172" s="20" t="n">
        <f aca="false">장비_기본!G25*INDEX(등급!$C$5:$C$12,MATCH($D172,등급!$A$5:$A$12,0))</f>
        <v>85.8</v>
      </c>
      <c r="G172" s="19" t="str">
        <f aca="false">장비_기본!H25</f>
        <v>이동 속도</v>
      </c>
      <c r="H172" s="21" t="n">
        <f aca="false">장비_기본!I25*INDEX(등급!$C$5:$C$12,MATCH($D172,등급!$A$5:$A$12,0))</f>
        <v>0.0825</v>
      </c>
      <c r="I172" s="19" t="str">
        <f aca="false">장비_기본!J25</f>
        <v>적이 70px 안에 있으면 받는 피해 -[값]%</v>
      </c>
      <c r="J172" s="20" t="n">
        <f aca="false">ROUND(장비_기본!K25*INDEX(등급!$F$5:$F$12,MATCH($D172,등급!$A$5:$A$12,0)),1)</f>
        <v>18</v>
      </c>
      <c r="K172" s="19" t="n">
        <f aca="false">INDEX(등급!$D$5:$D$12,MATCH($D172,등급!$A$5:$A$12,0))</f>
        <v>4</v>
      </c>
      <c r="L172" s="19" t="str">
        <f aca="false">IF(INDEX(등급!$H$5:$H$12,MATCH($D172,등급!$A$5:$A$12,0))=0,"-",IF(INDEX(등급!$G$5:$G$12,MATCH($D172,등급!$A$5:$A$12,0))=INDEX(등급!$H$5:$H$12,MATCH($D172,등급!$A$5:$A$12,0)),INDEX(등급!$G$5:$G$12,MATCH($D172,등급!$A$5:$A$12,0))&amp;"칸",INDEX(등급!$G$5:$G$12,MATCH($D172,등급!$A$5:$A$12,0))&amp;"~"&amp;INDEX(등급!$H$5:$H$12,MATCH($D172,등급!$A$5:$A$12,0))&amp;"칸"))</f>
        <v>1~3칸</v>
      </c>
      <c r="M172" s="19" t="str">
        <f aca="false">IF(INDEX(등급!$J$5:$J$12,MATCH($D172,등급!$A$5:$A$12,0))=0,"-",IF(INDEX(등급!$I$5:$I$12,MATCH($D172,등급!$A$5:$A$12,0))=INDEX(등급!$J$5:$J$12,MATCH($D172,등급!$A$5:$A$12,0)),INDEX(등급!$I$5:$I$12,MATCH($D172,등급!$A$5:$A$12,0))&amp;"개",INDEX(등급!$I$5:$I$12,MATCH($D172,등급!$A$5:$A$12,0))&amp;"~"&amp;INDEX(등급!$J$5:$J$12,MATCH($D172,등급!$A$5:$A$12,0))&amp;"개"))</f>
        <v>1개</v>
      </c>
      <c r="N172" s="19" t="str">
        <f aca="false">IF(INDEX(등급!$L$5:$L$12,MATCH($D172,등급!$A$5:$A$12,0))=0,"-",INDEX(등급!$K$5:$K$12,MATCH($D172,등급!$A$5:$A$12,0))&amp;"~"&amp;INDEX(등급!$L$5:$L$12,MATCH($D172,등급!$A$5:$A$12,0))&amp;"개")</f>
        <v>0~2개</v>
      </c>
    </row>
    <row r="173" customFormat="false" ht="15" hidden="false" customHeight="false" outlineLevel="0" collapsed="false">
      <c r="A173" s="19" t="str">
        <f aca="false">장비_기본!B26</f>
        <v>추적자의 조끼</v>
      </c>
      <c r="B173" s="19" t="str">
        <f aca="false">장비_기본!C26</f>
        <v>갑옷</v>
      </c>
      <c r="C173" s="19" t="str">
        <f aca="false">장비_기본!D26</f>
        <v>원딜</v>
      </c>
      <c r="D173" s="8" t="s">
        <v>43</v>
      </c>
      <c r="E173" s="19" t="str">
        <f aca="false">장비_기본!F26</f>
        <v>체력</v>
      </c>
      <c r="F173" s="20" t="n">
        <f aca="false">장비_기본!G26*INDEX(등급!$C$5:$C$12,MATCH($D173,등급!$A$5:$A$12,0))</f>
        <v>26</v>
      </c>
      <c r="G173" s="19" t="str">
        <f aca="false">장비_기본!H26</f>
        <v>이동 속도</v>
      </c>
      <c r="H173" s="21" t="n">
        <f aca="false">장비_기본!I26*INDEX(등급!$C$5:$C$12,MATCH($D173,등급!$A$5:$A$12,0))</f>
        <v>0.025</v>
      </c>
      <c r="I173" s="19" t="str">
        <f aca="false">장비_기본!J26</f>
        <v>차지·호출을 끊으면 필살기 게이지 +[값]</v>
      </c>
      <c r="J173" s="20" t="n">
        <f aca="false">ROUND(장비_기본!K26*INDEX(등급!$F$5:$F$12,MATCH($D173,등급!$A$5:$A$12,0)),1)</f>
        <v>6</v>
      </c>
      <c r="K173" s="19" t="n">
        <f aca="false">INDEX(등급!$D$5:$D$12,MATCH($D173,등급!$A$5:$A$12,0))</f>
        <v>0</v>
      </c>
      <c r="L173" s="19" t="str">
        <f aca="false">IF(INDEX(등급!$H$5:$H$12,MATCH($D173,등급!$A$5:$A$12,0))=0,"-",IF(INDEX(등급!$G$5:$G$12,MATCH($D173,등급!$A$5:$A$12,0))=INDEX(등급!$H$5:$H$12,MATCH($D173,등급!$A$5:$A$12,0)),INDEX(등급!$G$5:$G$12,MATCH($D173,등급!$A$5:$A$12,0))&amp;"칸",INDEX(등급!$G$5:$G$12,MATCH($D173,등급!$A$5:$A$12,0))&amp;"~"&amp;INDEX(등급!$H$5:$H$12,MATCH($D173,등급!$A$5:$A$12,0))&amp;"칸"))</f>
        <v>-</v>
      </c>
      <c r="M173" s="19" t="str">
        <f aca="false">IF(INDEX(등급!$J$5:$J$12,MATCH($D173,등급!$A$5:$A$12,0))=0,"-",IF(INDEX(등급!$I$5:$I$12,MATCH($D173,등급!$A$5:$A$12,0))=INDEX(등급!$J$5:$J$12,MATCH($D173,등급!$A$5:$A$12,0)),INDEX(등급!$I$5:$I$12,MATCH($D173,등급!$A$5:$A$12,0))&amp;"개",INDEX(등급!$I$5:$I$12,MATCH($D173,등급!$A$5:$A$12,0))&amp;"~"&amp;INDEX(등급!$J$5:$J$12,MATCH($D173,등급!$A$5:$A$12,0))&amp;"개"))</f>
        <v>-</v>
      </c>
      <c r="N173" s="19" t="str">
        <f aca="false">IF(INDEX(등급!$L$5:$L$12,MATCH($D173,등급!$A$5:$A$12,0))=0,"-",INDEX(등급!$K$5:$K$12,MATCH($D173,등급!$A$5:$A$12,0))&amp;"~"&amp;INDEX(등급!$L$5:$L$12,MATCH($D173,등급!$A$5:$A$12,0))&amp;"개")</f>
        <v>-</v>
      </c>
    </row>
    <row r="174" customFormat="false" ht="15" hidden="false" customHeight="false" outlineLevel="0" collapsed="false">
      <c r="A174" s="19" t="str">
        <f aca="false">장비_기본!B26</f>
        <v>추적자의 조끼</v>
      </c>
      <c r="B174" s="19" t="str">
        <f aca="false">장비_기본!C26</f>
        <v>갑옷</v>
      </c>
      <c r="C174" s="19" t="str">
        <f aca="false">장비_기본!D26</f>
        <v>원딜</v>
      </c>
      <c r="D174" s="8" t="s">
        <v>44</v>
      </c>
      <c r="E174" s="19" t="str">
        <f aca="false">장비_기본!F26</f>
        <v>체력</v>
      </c>
      <c r="F174" s="20" t="n">
        <f aca="false">장비_기본!G26*INDEX(등급!$C$5:$C$12,MATCH($D174,등급!$A$5:$A$12,0))</f>
        <v>37.7</v>
      </c>
      <c r="G174" s="19" t="str">
        <f aca="false">장비_기본!H26</f>
        <v>이동 속도</v>
      </c>
      <c r="H174" s="21" t="n">
        <f aca="false">장비_기본!I26*INDEX(등급!$C$5:$C$12,MATCH($D174,등급!$A$5:$A$12,0))</f>
        <v>0.03625</v>
      </c>
      <c r="I174" s="19" t="str">
        <f aca="false">장비_기본!J26</f>
        <v>차지·호출을 끊으면 필살기 게이지 +[값]</v>
      </c>
      <c r="J174" s="20" t="n">
        <f aca="false">ROUND(장비_기본!K26*INDEX(등급!$F$5:$F$12,MATCH($D174,등급!$A$5:$A$12,0)),1)</f>
        <v>8.1</v>
      </c>
      <c r="K174" s="19" t="n">
        <f aca="false">INDEX(등급!$D$5:$D$12,MATCH($D174,등급!$A$5:$A$12,0))</f>
        <v>0</v>
      </c>
      <c r="L174" s="19" t="str">
        <f aca="false">IF(INDEX(등급!$H$5:$H$12,MATCH($D174,등급!$A$5:$A$12,0))=0,"-",IF(INDEX(등급!$G$5:$G$12,MATCH($D174,등급!$A$5:$A$12,0))=INDEX(등급!$H$5:$H$12,MATCH($D174,등급!$A$5:$A$12,0)),INDEX(등급!$G$5:$G$12,MATCH($D174,등급!$A$5:$A$12,0))&amp;"칸",INDEX(등급!$G$5:$G$12,MATCH($D174,등급!$A$5:$A$12,0))&amp;"~"&amp;INDEX(등급!$H$5:$H$12,MATCH($D174,등급!$A$5:$A$12,0))&amp;"칸"))</f>
        <v>-</v>
      </c>
      <c r="M174" s="19" t="str">
        <f aca="false">IF(INDEX(등급!$J$5:$J$12,MATCH($D174,등급!$A$5:$A$12,0))=0,"-",IF(INDEX(등급!$I$5:$I$12,MATCH($D174,등급!$A$5:$A$12,0))=INDEX(등급!$J$5:$J$12,MATCH($D174,등급!$A$5:$A$12,0)),INDEX(등급!$I$5:$I$12,MATCH($D174,등급!$A$5:$A$12,0))&amp;"개",INDEX(등급!$I$5:$I$12,MATCH($D174,등급!$A$5:$A$12,0))&amp;"~"&amp;INDEX(등급!$J$5:$J$12,MATCH($D174,등급!$A$5:$A$12,0))&amp;"개"))</f>
        <v>-</v>
      </c>
      <c r="N174" s="19" t="str">
        <f aca="false">IF(INDEX(등급!$L$5:$L$12,MATCH($D174,등급!$A$5:$A$12,0))=0,"-",INDEX(등급!$K$5:$K$12,MATCH($D174,등급!$A$5:$A$12,0))&amp;"~"&amp;INDEX(등급!$L$5:$L$12,MATCH($D174,등급!$A$5:$A$12,0))&amp;"개")</f>
        <v>-</v>
      </c>
    </row>
    <row r="175" customFormat="false" ht="15" hidden="false" customHeight="false" outlineLevel="0" collapsed="false">
      <c r="A175" s="19" t="str">
        <f aca="false">장비_기본!B26</f>
        <v>추적자의 조끼</v>
      </c>
      <c r="B175" s="19" t="str">
        <f aca="false">장비_기본!C26</f>
        <v>갑옷</v>
      </c>
      <c r="C175" s="19" t="str">
        <f aca="false">장비_기본!D26</f>
        <v>원딜</v>
      </c>
      <c r="D175" s="8" t="s">
        <v>45</v>
      </c>
      <c r="E175" s="19" t="str">
        <f aca="false">장비_기본!F26</f>
        <v>체력</v>
      </c>
      <c r="F175" s="20" t="n">
        <f aca="false">장비_기본!G26*INDEX(등급!$C$5:$C$12,MATCH($D175,등급!$A$5:$A$12,0))</f>
        <v>44.2</v>
      </c>
      <c r="G175" s="19" t="str">
        <f aca="false">장비_기본!H26</f>
        <v>이동 속도</v>
      </c>
      <c r="H175" s="21" t="n">
        <f aca="false">장비_기본!I26*INDEX(등급!$C$5:$C$12,MATCH($D175,등급!$A$5:$A$12,0))</f>
        <v>0.0425</v>
      </c>
      <c r="I175" s="19" t="str">
        <f aca="false">장비_기본!J26</f>
        <v>차지·호출을 끊으면 필살기 게이지 +[값]</v>
      </c>
      <c r="J175" s="20" t="n">
        <f aca="false">ROUND(장비_기본!K26*INDEX(등급!$F$5:$F$12,MATCH($D175,등급!$A$5:$A$12,0)),1)</f>
        <v>9</v>
      </c>
      <c r="K175" s="19" t="n">
        <f aca="false">INDEX(등급!$D$5:$D$12,MATCH($D175,등급!$A$5:$A$12,0))</f>
        <v>1</v>
      </c>
      <c r="L175" s="19" t="str">
        <f aca="false">IF(INDEX(등급!$H$5:$H$12,MATCH($D175,등급!$A$5:$A$12,0))=0,"-",IF(INDEX(등급!$G$5:$G$12,MATCH($D175,등급!$A$5:$A$12,0))=INDEX(등급!$H$5:$H$12,MATCH($D175,등급!$A$5:$A$12,0)),INDEX(등급!$G$5:$G$12,MATCH($D175,등급!$A$5:$A$12,0))&amp;"칸",INDEX(등급!$G$5:$G$12,MATCH($D175,등급!$A$5:$A$12,0))&amp;"~"&amp;INDEX(등급!$H$5:$H$12,MATCH($D175,등급!$A$5:$A$12,0))&amp;"칸"))</f>
        <v>-</v>
      </c>
      <c r="M175" s="19" t="str">
        <f aca="false">IF(INDEX(등급!$J$5:$J$12,MATCH($D175,등급!$A$5:$A$12,0))=0,"-",IF(INDEX(등급!$I$5:$I$12,MATCH($D175,등급!$A$5:$A$12,0))=INDEX(등급!$J$5:$J$12,MATCH($D175,등급!$A$5:$A$12,0)),INDEX(등급!$I$5:$I$12,MATCH($D175,등급!$A$5:$A$12,0))&amp;"개",INDEX(등급!$I$5:$I$12,MATCH($D175,등급!$A$5:$A$12,0))&amp;"~"&amp;INDEX(등급!$J$5:$J$12,MATCH($D175,등급!$A$5:$A$12,0))&amp;"개"))</f>
        <v>-</v>
      </c>
      <c r="N175" s="19" t="str">
        <f aca="false">IF(INDEX(등급!$L$5:$L$12,MATCH($D175,등급!$A$5:$A$12,0))=0,"-",INDEX(등급!$K$5:$K$12,MATCH($D175,등급!$A$5:$A$12,0))&amp;"~"&amp;INDEX(등급!$L$5:$L$12,MATCH($D175,등급!$A$5:$A$12,0))&amp;"개")</f>
        <v>-</v>
      </c>
    </row>
    <row r="176" customFormat="false" ht="15" hidden="false" customHeight="false" outlineLevel="0" collapsed="false">
      <c r="A176" s="19" t="str">
        <f aca="false">장비_기본!B26</f>
        <v>추적자의 조끼</v>
      </c>
      <c r="B176" s="19" t="str">
        <f aca="false">장비_기본!C26</f>
        <v>갑옷</v>
      </c>
      <c r="C176" s="19" t="str">
        <f aca="false">장비_기본!D26</f>
        <v>원딜</v>
      </c>
      <c r="D176" s="8" t="s">
        <v>46</v>
      </c>
      <c r="E176" s="19" t="str">
        <f aca="false">장비_기본!F26</f>
        <v>체력</v>
      </c>
      <c r="F176" s="20" t="n">
        <f aca="false">장비_기본!G26*INDEX(등급!$C$5:$C$12,MATCH($D176,등급!$A$5:$A$12,0))</f>
        <v>54.6</v>
      </c>
      <c r="G176" s="19" t="str">
        <f aca="false">장비_기본!H26</f>
        <v>이동 속도</v>
      </c>
      <c r="H176" s="21" t="n">
        <f aca="false">장비_기본!I26*INDEX(등급!$C$5:$C$12,MATCH($D176,등급!$A$5:$A$12,0))</f>
        <v>0.0525</v>
      </c>
      <c r="I176" s="19" t="str">
        <f aca="false">장비_기본!J26</f>
        <v>차지·호출을 끊으면 필살기 게이지 +[값]</v>
      </c>
      <c r="J176" s="20" t="n">
        <f aca="false">ROUND(장비_기본!K26*INDEX(등급!$F$5:$F$12,MATCH($D176,등급!$A$5:$A$12,0)),1)</f>
        <v>10.5</v>
      </c>
      <c r="K176" s="19" t="n">
        <f aca="false">INDEX(등급!$D$5:$D$12,MATCH($D176,등급!$A$5:$A$12,0))</f>
        <v>2</v>
      </c>
      <c r="L176" s="19" t="str">
        <f aca="false">IF(INDEX(등급!$H$5:$H$12,MATCH($D176,등급!$A$5:$A$12,0))=0,"-",IF(INDEX(등급!$G$5:$G$12,MATCH($D176,등급!$A$5:$A$12,0))=INDEX(등급!$H$5:$H$12,MATCH($D176,등급!$A$5:$A$12,0)),INDEX(등급!$G$5:$G$12,MATCH($D176,등급!$A$5:$A$12,0))&amp;"칸",INDEX(등급!$G$5:$G$12,MATCH($D176,등급!$A$5:$A$12,0))&amp;"~"&amp;INDEX(등급!$H$5:$H$12,MATCH($D176,등급!$A$5:$A$12,0))&amp;"칸"))</f>
        <v>-</v>
      </c>
      <c r="M176" s="19" t="str">
        <f aca="false">IF(INDEX(등급!$J$5:$J$12,MATCH($D176,등급!$A$5:$A$12,0))=0,"-",IF(INDEX(등급!$I$5:$I$12,MATCH($D176,등급!$A$5:$A$12,0))=INDEX(등급!$J$5:$J$12,MATCH($D176,등급!$A$5:$A$12,0)),INDEX(등급!$I$5:$I$12,MATCH($D176,등급!$A$5:$A$12,0))&amp;"개",INDEX(등급!$I$5:$I$12,MATCH($D176,등급!$A$5:$A$12,0))&amp;"~"&amp;INDEX(등급!$J$5:$J$12,MATCH($D176,등급!$A$5:$A$12,0))&amp;"개"))</f>
        <v>-</v>
      </c>
      <c r="N176" s="19" t="str">
        <f aca="false">IF(INDEX(등급!$L$5:$L$12,MATCH($D176,등급!$A$5:$A$12,0))=0,"-",INDEX(등급!$K$5:$K$12,MATCH($D176,등급!$A$5:$A$12,0))&amp;"~"&amp;INDEX(등급!$L$5:$L$12,MATCH($D176,등급!$A$5:$A$12,0))&amp;"개")</f>
        <v>-</v>
      </c>
    </row>
    <row r="177" customFormat="false" ht="15" hidden="false" customHeight="false" outlineLevel="0" collapsed="false">
      <c r="A177" s="19" t="str">
        <f aca="false">장비_기본!B26</f>
        <v>추적자의 조끼</v>
      </c>
      <c r="B177" s="19" t="str">
        <f aca="false">장비_기본!C26</f>
        <v>갑옷</v>
      </c>
      <c r="C177" s="19" t="str">
        <f aca="false">장비_기본!D26</f>
        <v>원딜</v>
      </c>
      <c r="D177" s="8" t="s">
        <v>47</v>
      </c>
      <c r="E177" s="19" t="str">
        <f aca="false">장비_기본!F26</f>
        <v>체력</v>
      </c>
      <c r="F177" s="20" t="n">
        <f aca="false">장비_기본!G26*INDEX(등급!$C$5:$C$12,MATCH($D177,등급!$A$5:$A$12,0))</f>
        <v>66.3</v>
      </c>
      <c r="G177" s="19" t="str">
        <f aca="false">장비_기본!H26</f>
        <v>이동 속도</v>
      </c>
      <c r="H177" s="21" t="n">
        <f aca="false">장비_기본!I26*INDEX(등급!$C$5:$C$12,MATCH($D177,등급!$A$5:$A$12,0))</f>
        <v>0.06375</v>
      </c>
      <c r="I177" s="19" t="str">
        <f aca="false">장비_기본!J26</f>
        <v>차지·호출을 끊으면 필살기 게이지 +[값]</v>
      </c>
      <c r="J177" s="20" t="n">
        <f aca="false">ROUND(장비_기본!K26*INDEX(등급!$F$5:$F$12,MATCH($D177,등급!$A$5:$A$12,0)),1)</f>
        <v>12</v>
      </c>
      <c r="K177" s="19" t="n">
        <f aca="false">INDEX(등급!$D$5:$D$12,MATCH($D177,등급!$A$5:$A$12,0))</f>
        <v>3</v>
      </c>
      <c r="L177" s="19" t="str">
        <f aca="false">IF(INDEX(등급!$H$5:$H$12,MATCH($D177,등급!$A$5:$A$12,0))=0,"-",IF(INDEX(등급!$G$5:$G$12,MATCH($D177,등급!$A$5:$A$12,0))=INDEX(등급!$H$5:$H$12,MATCH($D177,등급!$A$5:$A$12,0)),INDEX(등급!$G$5:$G$12,MATCH($D177,등급!$A$5:$A$12,0))&amp;"칸",INDEX(등급!$G$5:$G$12,MATCH($D177,등급!$A$5:$A$12,0))&amp;"~"&amp;INDEX(등급!$H$5:$H$12,MATCH($D177,등급!$A$5:$A$12,0))&amp;"칸"))</f>
        <v>-</v>
      </c>
      <c r="M177" s="19" t="str">
        <f aca="false">IF(INDEX(등급!$J$5:$J$12,MATCH($D177,등급!$A$5:$A$12,0))=0,"-",IF(INDEX(등급!$I$5:$I$12,MATCH($D177,등급!$A$5:$A$12,0))=INDEX(등급!$J$5:$J$12,MATCH($D177,등급!$A$5:$A$12,0)),INDEX(등급!$I$5:$I$12,MATCH($D177,등급!$A$5:$A$12,0))&amp;"개",INDEX(등급!$I$5:$I$12,MATCH($D177,등급!$A$5:$A$12,0))&amp;"~"&amp;INDEX(등급!$J$5:$J$12,MATCH($D177,등급!$A$5:$A$12,0))&amp;"개"))</f>
        <v>-</v>
      </c>
      <c r="N177" s="19" t="str">
        <f aca="false">IF(INDEX(등급!$L$5:$L$12,MATCH($D177,등급!$A$5:$A$12,0))=0,"-",INDEX(등급!$K$5:$K$12,MATCH($D177,등급!$A$5:$A$12,0))&amp;"~"&amp;INDEX(등급!$L$5:$L$12,MATCH($D177,등급!$A$5:$A$12,0))&amp;"개")</f>
        <v>-</v>
      </c>
    </row>
    <row r="178" customFormat="false" ht="15" hidden="false" customHeight="false" outlineLevel="0" collapsed="false">
      <c r="A178" s="19" t="str">
        <f aca="false">장비_기본!B26</f>
        <v>추적자의 조끼</v>
      </c>
      <c r="B178" s="19" t="str">
        <f aca="false">장비_기본!C26</f>
        <v>갑옷</v>
      </c>
      <c r="C178" s="19" t="str">
        <f aca="false">장비_기본!D26</f>
        <v>원딜</v>
      </c>
      <c r="D178" s="8" t="s">
        <v>48</v>
      </c>
      <c r="E178" s="19" t="str">
        <f aca="false">장비_기본!F26</f>
        <v>체력</v>
      </c>
      <c r="F178" s="20" t="n">
        <f aca="false">장비_기본!G26*INDEX(등급!$C$5:$C$12,MATCH($D178,등급!$A$5:$A$12,0))</f>
        <v>79.3</v>
      </c>
      <c r="G178" s="19" t="str">
        <f aca="false">장비_기본!H26</f>
        <v>이동 속도</v>
      </c>
      <c r="H178" s="21" t="n">
        <f aca="false">장비_기본!I26*INDEX(등급!$C$5:$C$12,MATCH($D178,등급!$A$5:$A$12,0))</f>
        <v>0.07625</v>
      </c>
      <c r="I178" s="19" t="str">
        <f aca="false">장비_기본!J26</f>
        <v>차지·호출을 끊으면 필살기 게이지 +[값]</v>
      </c>
      <c r="J178" s="20" t="n">
        <f aca="false">ROUND(장비_기본!K26*INDEX(등급!$F$5:$F$12,MATCH($D178,등급!$A$5:$A$12,0)),1)</f>
        <v>13.8</v>
      </c>
      <c r="K178" s="19" t="n">
        <f aca="false">INDEX(등급!$D$5:$D$12,MATCH($D178,등급!$A$5:$A$12,0))</f>
        <v>4</v>
      </c>
      <c r="L178" s="19" t="str">
        <f aca="false">IF(INDEX(등급!$H$5:$H$12,MATCH($D178,등급!$A$5:$A$12,0))=0,"-",IF(INDEX(등급!$G$5:$G$12,MATCH($D178,등급!$A$5:$A$12,0))=INDEX(등급!$H$5:$H$12,MATCH($D178,등급!$A$5:$A$12,0)),INDEX(등급!$G$5:$G$12,MATCH($D178,등급!$A$5:$A$12,0))&amp;"칸",INDEX(등급!$G$5:$G$12,MATCH($D178,등급!$A$5:$A$12,0))&amp;"~"&amp;INDEX(등급!$H$5:$H$12,MATCH($D178,등급!$A$5:$A$12,0))&amp;"칸"))</f>
        <v>-</v>
      </c>
      <c r="M178" s="19" t="str">
        <f aca="false">IF(INDEX(등급!$J$5:$J$12,MATCH($D178,등급!$A$5:$A$12,0))=0,"-",IF(INDEX(등급!$I$5:$I$12,MATCH($D178,등급!$A$5:$A$12,0))=INDEX(등급!$J$5:$J$12,MATCH($D178,등급!$A$5:$A$12,0)),INDEX(등급!$I$5:$I$12,MATCH($D178,등급!$A$5:$A$12,0))&amp;"개",INDEX(등급!$I$5:$I$12,MATCH($D178,등급!$A$5:$A$12,0))&amp;"~"&amp;INDEX(등급!$J$5:$J$12,MATCH($D178,등급!$A$5:$A$12,0))&amp;"개"))</f>
        <v>-</v>
      </c>
      <c r="N178" s="19" t="str">
        <f aca="false">IF(INDEX(등급!$L$5:$L$12,MATCH($D178,등급!$A$5:$A$12,0))=0,"-",INDEX(등급!$K$5:$K$12,MATCH($D178,등급!$A$5:$A$12,0))&amp;"~"&amp;INDEX(등급!$L$5:$L$12,MATCH($D178,등급!$A$5:$A$12,0))&amp;"개")</f>
        <v>-</v>
      </c>
    </row>
    <row r="179" customFormat="false" ht="15" hidden="false" customHeight="false" outlineLevel="0" collapsed="false">
      <c r="A179" s="19" t="str">
        <f aca="false">장비_기본!B26</f>
        <v>추적자의 조끼</v>
      </c>
      <c r="B179" s="19" t="str">
        <f aca="false">장비_기본!C26</f>
        <v>갑옷</v>
      </c>
      <c r="C179" s="19" t="str">
        <f aca="false">장비_기본!D26</f>
        <v>원딜</v>
      </c>
      <c r="D179" s="8" t="s">
        <v>49</v>
      </c>
      <c r="E179" s="19" t="str">
        <f aca="false">장비_기본!F26</f>
        <v>체력</v>
      </c>
      <c r="F179" s="20" t="n">
        <f aca="false">장비_기본!G26*INDEX(등급!$C$5:$C$12,MATCH($D179,등급!$A$5:$A$12,0))</f>
        <v>83.2</v>
      </c>
      <c r="G179" s="19" t="str">
        <f aca="false">장비_기본!H26</f>
        <v>이동 속도</v>
      </c>
      <c r="H179" s="21" t="n">
        <f aca="false">장비_기본!I26*INDEX(등급!$C$5:$C$12,MATCH($D179,등급!$A$5:$A$12,0))</f>
        <v>0.08</v>
      </c>
      <c r="I179" s="19" t="str">
        <f aca="false">장비_기본!J26</f>
        <v>차지·호출을 끊으면 필살기 게이지 +[값]</v>
      </c>
      <c r="J179" s="20" t="n">
        <f aca="false">ROUND(장비_기본!K26*INDEX(등급!$F$5:$F$12,MATCH($D179,등급!$A$5:$A$12,0)),1)</f>
        <v>15.9</v>
      </c>
      <c r="K179" s="19" t="n">
        <f aca="false">INDEX(등급!$D$5:$D$12,MATCH($D179,등급!$A$5:$A$12,0))</f>
        <v>4</v>
      </c>
      <c r="L179" s="19" t="str">
        <f aca="false">IF(INDEX(등급!$H$5:$H$12,MATCH($D179,등급!$A$5:$A$12,0))=0,"-",IF(INDEX(등급!$G$5:$G$12,MATCH($D179,등급!$A$5:$A$12,0))=INDEX(등급!$H$5:$H$12,MATCH($D179,등급!$A$5:$A$12,0)),INDEX(등급!$G$5:$G$12,MATCH($D179,등급!$A$5:$A$12,0))&amp;"칸",INDEX(등급!$G$5:$G$12,MATCH($D179,등급!$A$5:$A$12,0))&amp;"~"&amp;INDEX(등급!$H$5:$H$12,MATCH($D179,등급!$A$5:$A$12,0))&amp;"칸"))</f>
        <v>1칸</v>
      </c>
      <c r="M179" s="19" t="str">
        <f aca="false">IF(INDEX(등급!$J$5:$J$12,MATCH($D179,등급!$A$5:$A$12,0))=0,"-",IF(INDEX(등급!$I$5:$I$12,MATCH($D179,등급!$A$5:$A$12,0))=INDEX(등급!$J$5:$J$12,MATCH($D179,등급!$A$5:$A$12,0)),INDEX(등급!$I$5:$I$12,MATCH($D179,등급!$A$5:$A$12,0))&amp;"개",INDEX(등급!$I$5:$I$12,MATCH($D179,등급!$A$5:$A$12,0))&amp;"~"&amp;INDEX(등급!$J$5:$J$12,MATCH($D179,등급!$A$5:$A$12,0))&amp;"개"))</f>
        <v>0~1개</v>
      </c>
      <c r="N179" s="19" t="str">
        <f aca="false">IF(INDEX(등급!$L$5:$L$12,MATCH($D179,등급!$A$5:$A$12,0))=0,"-",INDEX(등급!$K$5:$K$12,MATCH($D179,등급!$A$5:$A$12,0))&amp;"~"&amp;INDEX(등급!$L$5:$L$12,MATCH($D179,등급!$A$5:$A$12,0))&amp;"개")</f>
        <v>0~1개</v>
      </c>
    </row>
    <row r="180" customFormat="false" ht="15" hidden="false" customHeight="false" outlineLevel="0" collapsed="false">
      <c r="A180" s="19" t="str">
        <f aca="false">장비_기본!B26</f>
        <v>추적자의 조끼</v>
      </c>
      <c r="B180" s="19" t="str">
        <f aca="false">장비_기본!C26</f>
        <v>갑옷</v>
      </c>
      <c r="C180" s="19" t="str">
        <f aca="false">장비_기본!D26</f>
        <v>원딜</v>
      </c>
      <c r="D180" s="8" t="s">
        <v>51</v>
      </c>
      <c r="E180" s="19" t="str">
        <f aca="false">장비_기본!F26</f>
        <v>체력</v>
      </c>
      <c r="F180" s="20" t="n">
        <f aca="false">장비_기본!G26*INDEX(등급!$C$5:$C$12,MATCH($D180,등급!$A$5:$A$12,0))</f>
        <v>85.8</v>
      </c>
      <c r="G180" s="19" t="str">
        <f aca="false">장비_기본!H26</f>
        <v>이동 속도</v>
      </c>
      <c r="H180" s="21" t="n">
        <f aca="false">장비_기본!I26*INDEX(등급!$C$5:$C$12,MATCH($D180,등급!$A$5:$A$12,0))</f>
        <v>0.0825</v>
      </c>
      <c r="I180" s="19" t="str">
        <f aca="false">장비_기본!J26</f>
        <v>차지·호출을 끊으면 필살기 게이지 +[값]</v>
      </c>
      <c r="J180" s="20" t="n">
        <f aca="false">ROUND(장비_기본!K26*INDEX(등급!$F$5:$F$12,MATCH($D180,등급!$A$5:$A$12,0)),1)</f>
        <v>18</v>
      </c>
      <c r="K180" s="19" t="n">
        <f aca="false">INDEX(등급!$D$5:$D$12,MATCH($D180,등급!$A$5:$A$12,0))</f>
        <v>4</v>
      </c>
      <c r="L180" s="19" t="str">
        <f aca="false">IF(INDEX(등급!$H$5:$H$12,MATCH($D180,등급!$A$5:$A$12,0))=0,"-",IF(INDEX(등급!$G$5:$G$12,MATCH($D180,등급!$A$5:$A$12,0))=INDEX(등급!$H$5:$H$12,MATCH($D180,등급!$A$5:$A$12,0)),INDEX(등급!$G$5:$G$12,MATCH($D180,등급!$A$5:$A$12,0))&amp;"칸",INDEX(등급!$G$5:$G$12,MATCH($D180,등급!$A$5:$A$12,0))&amp;"~"&amp;INDEX(등급!$H$5:$H$12,MATCH($D180,등급!$A$5:$A$12,0))&amp;"칸"))</f>
        <v>1~3칸</v>
      </c>
      <c r="M180" s="19" t="str">
        <f aca="false">IF(INDEX(등급!$J$5:$J$12,MATCH($D180,등급!$A$5:$A$12,0))=0,"-",IF(INDEX(등급!$I$5:$I$12,MATCH($D180,등급!$A$5:$A$12,0))=INDEX(등급!$J$5:$J$12,MATCH($D180,등급!$A$5:$A$12,0)),INDEX(등급!$I$5:$I$12,MATCH($D180,등급!$A$5:$A$12,0))&amp;"개",INDEX(등급!$I$5:$I$12,MATCH($D180,등급!$A$5:$A$12,0))&amp;"~"&amp;INDEX(등급!$J$5:$J$12,MATCH($D180,등급!$A$5:$A$12,0))&amp;"개"))</f>
        <v>1개</v>
      </c>
      <c r="N180" s="19" t="str">
        <f aca="false">IF(INDEX(등급!$L$5:$L$12,MATCH($D180,등급!$A$5:$A$12,0))=0,"-",INDEX(등급!$K$5:$K$12,MATCH($D180,등급!$A$5:$A$12,0))&amp;"~"&amp;INDEX(등급!$L$5:$L$12,MATCH($D180,등급!$A$5:$A$12,0))&amp;"개")</f>
        <v>0~2개</v>
      </c>
    </row>
    <row r="181" customFormat="false" ht="15" hidden="false" customHeight="false" outlineLevel="0" collapsed="false">
      <c r="A181" s="19" t="str">
        <f aca="false">장비_기본!B27</f>
        <v>명사수의 소울 메달</v>
      </c>
      <c r="B181" s="19" t="str">
        <f aca="false">장비_기본!C27</f>
        <v>소울 메달</v>
      </c>
      <c r="C181" s="19" t="str">
        <f aca="false">장비_기본!D27</f>
        <v>원딜</v>
      </c>
      <c r="D181" s="8" t="s">
        <v>43</v>
      </c>
      <c r="E181" s="19" t="str">
        <f aca="false">장비_기본!F27</f>
        <v>치명타 확률</v>
      </c>
      <c r="F181" s="21" t="n">
        <f aca="false">장비_기본!G27*INDEX(등급!$C$5:$C$12,MATCH($D181,등급!$A$5:$A$12,0))</f>
        <v>0.016</v>
      </c>
      <c r="G181" s="19" t="str">
        <f aca="false">장비_기본!H27</f>
        <v>① 스킬 위력</v>
      </c>
      <c r="H181" s="21" t="n">
        <f aca="false">장비_기본!I27*INDEX(등급!$C$5:$C$12,MATCH($D181,등급!$A$5:$A$12,0))</f>
        <v>0.1</v>
      </c>
      <c r="I181" s="13" t="s">
        <v>78</v>
      </c>
      <c r="J181" s="12"/>
      <c r="K181" s="19" t="n">
        <f aca="false">INDEX(등급!$D$5:$D$12,MATCH($D181,등급!$A$5:$A$12,0))</f>
        <v>0</v>
      </c>
      <c r="L181" s="19" t="str">
        <f aca="false">IF(INDEX(등급!$H$5:$H$12,MATCH($D181,등급!$A$5:$A$12,0))=0,"-",IF(INDEX(등급!$G$5:$G$12,MATCH($D181,등급!$A$5:$A$12,0))=INDEX(등급!$H$5:$H$12,MATCH($D181,등급!$A$5:$A$12,0)),INDEX(등급!$G$5:$G$12,MATCH($D181,등급!$A$5:$A$12,0))&amp;"칸",INDEX(등급!$G$5:$G$12,MATCH($D181,등급!$A$5:$A$12,0))&amp;"~"&amp;INDEX(등급!$H$5:$H$12,MATCH($D181,등급!$A$5:$A$12,0))&amp;"칸"))</f>
        <v>-</v>
      </c>
      <c r="M181" s="19" t="str">
        <f aca="false">IF(INDEX(등급!$J$5:$J$12,MATCH($D181,등급!$A$5:$A$12,0))=0,"-",IF(INDEX(등급!$I$5:$I$12,MATCH($D181,등급!$A$5:$A$12,0))=INDEX(등급!$J$5:$J$12,MATCH($D181,등급!$A$5:$A$12,0)),INDEX(등급!$I$5:$I$12,MATCH($D181,등급!$A$5:$A$12,0))&amp;"개",INDEX(등급!$I$5:$I$12,MATCH($D181,등급!$A$5:$A$12,0))&amp;"~"&amp;INDEX(등급!$J$5:$J$12,MATCH($D181,등급!$A$5:$A$12,0))&amp;"개"))</f>
        <v>-</v>
      </c>
      <c r="N181" s="19" t="str">
        <f aca="false">IF(INDEX(등급!$L$5:$L$12,MATCH($D181,등급!$A$5:$A$12,0))=0,"-",INDEX(등급!$K$5:$K$12,MATCH($D181,등급!$A$5:$A$12,0))&amp;"~"&amp;INDEX(등급!$L$5:$L$12,MATCH($D181,등급!$A$5:$A$12,0))&amp;"개")</f>
        <v>-</v>
      </c>
    </row>
    <row r="182" customFormat="false" ht="15" hidden="false" customHeight="false" outlineLevel="0" collapsed="false">
      <c r="A182" s="19" t="str">
        <f aca="false">장비_기본!B27</f>
        <v>명사수의 소울 메달</v>
      </c>
      <c r="B182" s="19" t="str">
        <f aca="false">장비_기본!C27</f>
        <v>소울 메달</v>
      </c>
      <c r="C182" s="19" t="str">
        <f aca="false">장비_기본!D27</f>
        <v>원딜</v>
      </c>
      <c r="D182" s="8" t="s">
        <v>44</v>
      </c>
      <c r="E182" s="19" t="str">
        <f aca="false">장비_기본!F27</f>
        <v>치명타 확률</v>
      </c>
      <c r="F182" s="21" t="n">
        <f aca="false">장비_기본!G27*INDEX(등급!$C$5:$C$12,MATCH($D182,등급!$A$5:$A$12,0))</f>
        <v>0.0232</v>
      </c>
      <c r="G182" s="19" t="str">
        <f aca="false">장비_기본!H27</f>
        <v>① 스킬 위력</v>
      </c>
      <c r="H182" s="21" t="n">
        <f aca="false">장비_기본!I27*INDEX(등급!$C$5:$C$12,MATCH($D182,등급!$A$5:$A$12,0))</f>
        <v>0.145</v>
      </c>
      <c r="I182" s="13" t="s">
        <v>78</v>
      </c>
      <c r="J182" s="12"/>
      <c r="K182" s="19" t="n">
        <f aca="false">INDEX(등급!$D$5:$D$12,MATCH($D182,등급!$A$5:$A$12,0))</f>
        <v>0</v>
      </c>
      <c r="L182" s="19" t="str">
        <f aca="false">IF(INDEX(등급!$H$5:$H$12,MATCH($D182,등급!$A$5:$A$12,0))=0,"-",IF(INDEX(등급!$G$5:$G$12,MATCH($D182,등급!$A$5:$A$12,0))=INDEX(등급!$H$5:$H$12,MATCH($D182,등급!$A$5:$A$12,0)),INDEX(등급!$G$5:$G$12,MATCH($D182,등급!$A$5:$A$12,0))&amp;"칸",INDEX(등급!$G$5:$G$12,MATCH($D182,등급!$A$5:$A$12,0))&amp;"~"&amp;INDEX(등급!$H$5:$H$12,MATCH($D182,등급!$A$5:$A$12,0))&amp;"칸"))</f>
        <v>-</v>
      </c>
      <c r="M182" s="19" t="str">
        <f aca="false">IF(INDEX(등급!$J$5:$J$12,MATCH($D182,등급!$A$5:$A$12,0))=0,"-",IF(INDEX(등급!$I$5:$I$12,MATCH($D182,등급!$A$5:$A$12,0))=INDEX(등급!$J$5:$J$12,MATCH($D182,등급!$A$5:$A$12,0)),INDEX(등급!$I$5:$I$12,MATCH($D182,등급!$A$5:$A$12,0))&amp;"개",INDEX(등급!$I$5:$I$12,MATCH($D182,등급!$A$5:$A$12,0))&amp;"~"&amp;INDEX(등급!$J$5:$J$12,MATCH($D182,등급!$A$5:$A$12,0))&amp;"개"))</f>
        <v>-</v>
      </c>
      <c r="N182" s="19" t="str">
        <f aca="false">IF(INDEX(등급!$L$5:$L$12,MATCH($D182,등급!$A$5:$A$12,0))=0,"-",INDEX(등급!$K$5:$K$12,MATCH($D182,등급!$A$5:$A$12,0))&amp;"~"&amp;INDEX(등급!$L$5:$L$12,MATCH($D182,등급!$A$5:$A$12,0))&amp;"개")</f>
        <v>-</v>
      </c>
    </row>
    <row r="183" customFormat="false" ht="15" hidden="false" customHeight="false" outlineLevel="0" collapsed="false">
      <c r="A183" s="19" t="str">
        <f aca="false">장비_기본!B27</f>
        <v>명사수의 소울 메달</v>
      </c>
      <c r="B183" s="19" t="str">
        <f aca="false">장비_기본!C27</f>
        <v>소울 메달</v>
      </c>
      <c r="C183" s="19" t="str">
        <f aca="false">장비_기본!D27</f>
        <v>원딜</v>
      </c>
      <c r="D183" s="8" t="s">
        <v>45</v>
      </c>
      <c r="E183" s="19" t="str">
        <f aca="false">장비_기본!F27</f>
        <v>치명타 확률</v>
      </c>
      <c r="F183" s="21" t="n">
        <f aca="false">장비_기본!G27*INDEX(등급!$C$5:$C$12,MATCH($D183,등급!$A$5:$A$12,0))</f>
        <v>0.0272</v>
      </c>
      <c r="G183" s="19" t="str">
        <f aca="false">장비_기본!H27</f>
        <v>① 스킬 위력</v>
      </c>
      <c r="H183" s="21" t="n">
        <f aca="false">장비_기본!I27*INDEX(등급!$C$5:$C$12,MATCH($D183,등급!$A$5:$A$12,0))</f>
        <v>0.17</v>
      </c>
      <c r="I183" s="13" t="s">
        <v>78</v>
      </c>
      <c r="J183" s="12"/>
      <c r="K183" s="19" t="n">
        <f aca="false">INDEX(등급!$D$5:$D$12,MATCH($D183,등급!$A$5:$A$12,0))</f>
        <v>1</v>
      </c>
      <c r="L183" s="19" t="str">
        <f aca="false">IF(INDEX(등급!$H$5:$H$12,MATCH($D183,등급!$A$5:$A$12,0))=0,"-",IF(INDEX(등급!$G$5:$G$12,MATCH($D183,등급!$A$5:$A$12,0))=INDEX(등급!$H$5:$H$12,MATCH($D183,등급!$A$5:$A$12,0)),INDEX(등급!$G$5:$G$12,MATCH($D183,등급!$A$5:$A$12,0))&amp;"칸",INDEX(등급!$G$5:$G$12,MATCH($D183,등급!$A$5:$A$12,0))&amp;"~"&amp;INDEX(등급!$H$5:$H$12,MATCH($D183,등급!$A$5:$A$12,0))&amp;"칸"))</f>
        <v>-</v>
      </c>
      <c r="M183" s="19" t="str">
        <f aca="false">IF(INDEX(등급!$J$5:$J$12,MATCH($D183,등급!$A$5:$A$12,0))=0,"-",IF(INDEX(등급!$I$5:$I$12,MATCH($D183,등급!$A$5:$A$12,0))=INDEX(등급!$J$5:$J$12,MATCH($D183,등급!$A$5:$A$12,0)),INDEX(등급!$I$5:$I$12,MATCH($D183,등급!$A$5:$A$12,0))&amp;"개",INDEX(등급!$I$5:$I$12,MATCH($D183,등급!$A$5:$A$12,0))&amp;"~"&amp;INDEX(등급!$J$5:$J$12,MATCH($D183,등급!$A$5:$A$12,0))&amp;"개"))</f>
        <v>-</v>
      </c>
      <c r="N183" s="19" t="str">
        <f aca="false">IF(INDEX(등급!$L$5:$L$12,MATCH($D183,등급!$A$5:$A$12,0))=0,"-",INDEX(등급!$K$5:$K$12,MATCH($D183,등급!$A$5:$A$12,0))&amp;"~"&amp;INDEX(등급!$L$5:$L$12,MATCH($D183,등급!$A$5:$A$12,0))&amp;"개")</f>
        <v>-</v>
      </c>
    </row>
    <row r="184" customFormat="false" ht="15" hidden="false" customHeight="false" outlineLevel="0" collapsed="false">
      <c r="A184" s="19" t="str">
        <f aca="false">장비_기본!B27</f>
        <v>명사수의 소울 메달</v>
      </c>
      <c r="B184" s="19" t="str">
        <f aca="false">장비_기본!C27</f>
        <v>소울 메달</v>
      </c>
      <c r="C184" s="19" t="str">
        <f aca="false">장비_기본!D27</f>
        <v>원딜</v>
      </c>
      <c r="D184" s="8" t="s">
        <v>46</v>
      </c>
      <c r="E184" s="19" t="str">
        <f aca="false">장비_기본!F27</f>
        <v>치명타 확률</v>
      </c>
      <c r="F184" s="21" t="n">
        <f aca="false">장비_기본!G27*INDEX(등급!$C$5:$C$12,MATCH($D184,등급!$A$5:$A$12,0))</f>
        <v>0.0336</v>
      </c>
      <c r="G184" s="19" t="str">
        <f aca="false">장비_기본!H27</f>
        <v>① 스킬 위력</v>
      </c>
      <c r="H184" s="21" t="n">
        <f aca="false">장비_기본!I27*INDEX(등급!$C$5:$C$12,MATCH($D184,등급!$A$5:$A$12,0))</f>
        <v>0.21</v>
      </c>
      <c r="I184" s="13" t="s">
        <v>78</v>
      </c>
      <c r="J184" s="12"/>
      <c r="K184" s="19" t="n">
        <f aca="false">INDEX(등급!$D$5:$D$12,MATCH($D184,등급!$A$5:$A$12,0))</f>
        <v>2</v>
      </c>
      <c r="L184" s="19" t="str">
        <f aca="false">IF(INDEX(등급!$H$5:$H$12,MATCH($D184,등급!$A$5:$A$12,0))=0,"-",IF(INDEX(등급!$G$5:$G$12,MATCH($D184,등급!$A$5:$A$12,0))=INDEX(등급!$H$5:$H$12,MATCH($D184,등급!$A$5:$A$12,0)),INDEX(등급!$G$5:$G$12,MATCH($D184,등급!$A$5:$A$12,0))&amp;"칸",INDEX(등급!$G$5:$G$12,MATCH($D184,등급!$A$5:$A$12,0))&amp;"~"&amp;INDEX(등급!$H$5:$H$12,MATCH($D184,등급!$A$5:$A$12,0))&amp;"칸"))</f>
        <v>-</v>
      </c>
      <c r="M184" s="19" t="str">
        <f aca="false">IF(INDEX(등급!$J$5:$J$12,MATCH($D184,등급!$A$5:$A$12,0))=0,"-",IF(INDEX(등급!$I$5:$I$12,MATCH($D184,등급!$A$5:$A$12,0))=INDEX(등급!$J$5:$J$12,MATCH($D184,등급!$A$5:$A$12,0)),INDEX(등급!$I$5:$I$12,MATCH($D184,등급!$A$5:$A$12,0))&amp;"개",INDEX(등급!$I$5:$I$12,MATCH($D184,등급!$A$5:$A$12,0))&amp;"~"&amp;INDEX(등급!$J$5:$J$12,MATCH($D184,등급!$A$5:$A$12,0))&amp;"개"))</f>
        <v>-</v>
      </c>
      <c r="N184" s="19" t="str">
        <f aca="false">IF(INDEX(등급!$L$5:$L$12,MATCH($D184,등급!$A$5:$A$12,0))=0,"-",INDEX(등급!$K$5:$K$12,MATCH($D184,등급!$A$5:$A$12,0))&amp;"~"&amp;INDEX(등급!$L$5:$L$12,MATCH($D184,등급!$A$5:$A$12,0))&amp;"개")</f>
        <v>-</v>
      </c>
    </row>
    <row r="185" customFormat="false" ht="15" hidden="false" customHeight="false" outlineLevel="0" collapsed="false">
      <c r="A185" s="19" t="str">
        <f aca="false">장비_기본!B27</f>
        <v>명사수의 소울 메달</v>
      </c>
      <c r="B185" s="19" t="str">
        <f aca="false">장비_기본!C27</f>
        <v>소울 메달</v>
      </c>
      <c r="C185" s="19" t="str">
        <f aca="false">장비_기본!D27</f>
        <v>원딜</v>
      </c>
      <c r="D185" s="8" t="s">
        <v>47</v>
      </c>
      <c r="E185" s="19" t="str">
        <f aca="false">장비_기본!F27</f>
        <v>치명타 확률</v>
      </c>
      <c r="F185" s="21" t="n">
        <f aca="false">장비_기본!G27*INDEX(등급!$C$5:$C$12,MATCH($D185,등급!$A$5:$A$12,0))</f>
        <v>0.0408</v>
      </c>
      <c r="G185" s="19" t="str">
        <f aca="false">장비_기본!H27</f>
        <v>① 스킬 위력</v>
      </c>
      <c r="H185" s="21" t="n">
        <f aca="false">장비_기본!I27*INDEX(등급!$C$5:$C$12,MATCH($D185,등급!$A$5:$A$12,0))</f>
        <v>0.255</v>
      </c>
      <c r="I185" s="13" t="s">
        <v>78</v>
      </c>
      <c r="J185" s="12"/>
      <c r="K185" s="19" t="n">
        <f aca="false">INDEX(등급!$D$5:$D$12,MATCH($D185,등급!$A$5:$A$12,0))</f>
        <v>3</v>
      </c>
      <c r="L185" s="19" t="str">
        <f aca="false">IF(INDEX(등급!$H$5:$H$12,MATCH($D185,등급!$A$5:$A$12,0))=0,"-",IF(INDEX(등급!$G$5:$G$12,MATCH($D185,등급!$A$5:$A$12,0))=INDEX(등급!$H$5:$H$12,MATCH($D185,등급!$A$5:$A$12,0)),INDEX(등급!$G$5:$G$12,MATCH($D185,등급!$A$5:$A$12,0))&amp;"칸",INDEX(등급!$G$5:$G$12,MATCH($D185,등급!$A$5:$A$12,0))&amp;"~"&amp;INDEX(등급!$H$5:$H$12,MATCH($D185,등급!$A$5:$A$12,0))&amp;"칸"))</f>
        <v>-</v>
      </c>
      <c r="M185" s="19" t="str">
        <f aca="false">IF(INDEX(등급!$J$5:$J$12,MATCH($D185,등급!$A$5:$A$12,0))=0,"-",IF(INDEX(등급!$I$5:$I$12,MATCH($D185,등급!$A$5:$A$12,0))=INDEX(등급!$J$5:$J$12,MATCH($D185,등급!$A$5:$A$12,0)),INDEX(등급!$I$5:$I$12,MATCH($D185,등급!$A$5:$A$12,0))&amp;"개",INDEX(등급!$I$5:$I$12,MATCH($D185,등급!$A$5:$A$12,0))&amp;"~"&amp;INDEX(등급!$J$5:$J$12,MATCH($D185,등급!$A$5:$A$12,0))&amp;"개"))</f>
        <v>-</v>
      </c>
      <c r="N185" s="19" t="str">
        <f aca="false">IF(INDEX(등급!$L$5:$L$12,MATCH($D185,등급!$A$5:$A$12,0))=0,"-",INDEX(등급!$K$5:$K$12,MATCH($D185,등급!$A$5:$A$12,0))&amp;"~"&amp;INDEX(등급!$L$5:$L$12,MATCH($D185,등급!$A$5:$A$12,0))&amp;"개")</f>
        <v>-</v>
      </c>
    </row>
    <row r="186" customFormat="false" ht="15" hidden="false" customHeight="false" outlineLevel="0" collapsed="false">
      <c r="A186" s="19" t="str">
        <f aca="false">장비_기본!B27</f>
        <v>명사수의 소울 메달</v>
      </c>
      <c r="B186" s="19" t="str">
        <f aca="false">장비_기본!C27</f>
        <v>소울 메달</v>
      </c>
      <c r="C186" s="19" t="str">
        <f aca="false">장비_기본!D27</f>
        <v>원딜</v>
      </c>
      <c r="D186" s="8" t="s">
        <v>48</v>
      </c>
      <c r="E186" s="19" t="str">
        <f aca="false">장비_기본!F27</f>
        <v>치명타 확률</v>
      </c>
      <c r="F186" s="21" t="n">
        <f aca="false">장비_기본!G27*INDEX(등급!$C$5:$C$12,MATCH($D186,등급!$A$5:$A$12,0))</f>
        <v>0.0488</v>
      </c>
      <c r="G186" s="19" t="str">
        <f aca="false">장비_기본!H27</f>
        <v>① 스킬 위력</v>
      </c>
      <c r="H186" s="21" t="n">
        <f aca="false">장비_기본!I27*INDEX(등급!$C$5:$C$12,MATCH($D186,등급!$A$5:$A$12,0))</f>
        <v>0.305</v>
      </c>
      <c r="I186" s="13" t="s">
        <v>78</v>
      </c>
      <c r="J186" s="12"/>
      <c r="K186" s="19" t="n">
        <f aca="false">INDEX(등급!$D$5:$D$12,MATCH($D186,등급!$A$5:$A$12,0))</f>
        <v>4</v>
      </c>
      <c r="L186" s="19" t="str">
        <f aca="false">IF(INDEX(등급!$H$5:$H$12,MATCH($D186,등급!$A$5:$A$12,0))=0,"-",IF(INDEX(등급!$G$5:$G$12,MATCH($D186,등급!$A$5:$A$12,0))=INDEX(등급!$H$5:$H$12,MATCH($D186,등급!$A$5:$A$12,0)),INDEX(등급!$G$5:$G$12,MATCH($D186,등급!$A$5:$A$12,0))&amp;"칸",INDEX(등급!$G$5:$G$12,MATCH($D186,등급!$A$5:$A$12,0))&amp;"~"&amp;INDEX(등급!$H$5:$H$12,MATCH($D186,등급!$A$5:$A$12,0))&amp;"칸"))</f>
        <v>-</v>
      </c>
      <c r="M186" s="19" t="str">
        <f aca="false">IF(INDEX(등급!$J$5:$J$12,MATCH($D186,등급!$A$5:$A$12,0))=0,"-",IF(INDEX(등급!$I$5:$I$12,MATCH($D186,등급!$A$5:$A$12,0))=INDEX(등급!$J$5:$J$12,MATCH($D186,등급!$A$5:$A$12,0)),INDEX(등급!$I$5:$I$12,MATCH($D186,등급!$A$5:$A$12,0))&amp;"개",INDEX(등급!$I$5:$I$12,MATCH($D186,등급!$A$5:$A$12,0))&amp;"~"&amp;INDEX(등급!$J$5:$J$12,MATCH($D186,등급!$A$5:$A$12,0))&amp;"개"))</f>
        <v>-</v>
      </c>
      <c r="N186" s="19" t="str">
        <f aca="false">IF(INDEX(등급!$L$5:$L$12,MATCH($D186,등급!$A$5:$A$12,0))=0,"-",INDEX(등급!$K$5:$K$12,MATCH($D186,등급!$A$5:$A$12,0))&amp;"~"&amp;INDEX(등급!$L$5:$L$12,MATCH($D186,등급!$A$5:$A$12,0))&amp;"개")</f>
        <v>-</v>
      </c>
    </row>
    <row r="187" customFormat="false" ht="15" hidden="false" customHeight="false" outlineLevel="0" collapsed="false">
      <c r="A187" s="19" t="str">
        <f aca="false">장비_기본!B27</f>
        <v>명사수의 소울 메달</v>
      </c>
      <c r="B187" s="19" t="str">
        <f aca="false">장비_기본!C27</f>
        <v>소울 메달</v>
      </c>
      <c r="C187" s="19" t="str">
        <f aca="false">장비_기본!D27</f>
        <v>원딜</v>
      </c>
      <c r="D187" s="8" t="s">
        <v>49</v>
      </c>
      <c r="E187" s="19" t="str">
        <f aca="false">장비_기본!F27</f>
        <v>치명타 확률</v>
      </c>
      <c r="F187" s="21" t="n">
        <f aca="false">장비_기본!G27*INDEX(등급!$C$5:$C$12,MATCH($D187,등급!$A$5:$A$12,0))</f>
        <v>0.0512</v>
      </c>
      <c r="G187" s="19" t="str">
        <f aca="false">장비_기본!H27</f>
        <v>① 스킬 위력</v>
      </c>
      <c r="H187" s="21" t="n">
        <f aca="false">장비_기본!I27*INDEX(등급!$C$5:$C$12,MATCH($D187,등급!$A$5:$A$12,0))</f>
        <v>0.32</v>
      </c>
      <c r="I187" s="13" t="s">
        <v>78</v>
      </c>
      <c r="J187" s="12"/>
      <c r="K187" s="19" t="n">
        <f aca="false">INDEX(등급!$D$5:$D$12,MATCH($D187,등급!$A$5:$A$12,0))</f>
        <v>4</v>
      </c>
      <c r="L187" s="19" t="str">
        <f aca="false">IF(INDEX(등급!$H$5:$H$12,MATCH($D187,등급!$A$5:$A$12,0))=0,"-",IF(INDEX(등급!$G$5:$G$12,MATCH($D187,등급!$A$5:$A$12,0))=INDEX(등급!$H$5:$H$12,MATCH($D187,등급!$A$5:$A$12,0)),INDEX(등급!$G$5:$G$12,MATCH($D187,등급!$A$5:$A$12,0))&amp;"칸",INDEX(등급!$G$5:$G$12,MATCH($D187,등급!$A$5:$A$12,0))&amp;"~"&amp;INDEX(등급!$H$5:$H$12,MATCH($D187,등급!$A$5:$A$12,0))&amp;"칸"))</f>
        <v>1칸</v>
      </c>
      <c r="M187" s="19" t="str">
        <f aca="false">IF(INDEX(등급!$J$5:$J$12,MATCH($D187,등급!$A$5:$A$12,0))=0,"-",IF(INDEX(등급!$I$5:$I$12,MATCH($D187,등급!$A$5:$A$12,0))=INDEX(등급!$J$5:$J$12,MATCH($D187,등급!$A$5:$A$12,0)),INDEX(등급!$I$5:$I$12,MATCH($D187,등급!$A$5:$A$12,0))&amp;"개",INDEX(등급!$I$5:$I$12,MATCH($D187,등급!$A$5:$A$12,0))&amp;"~"&amp;INDEX(등급!$J$5:$J$12,MATCH($D187,등급!$A$5:$A$12,0))&amp;"개"))</f>
        <v>0~1개</v>
      </c>
      <c r="N187" s="19" t="str">
        <f aca="false">IF(INDEX(등급!$L$5:$L$12,MATCH($D187,등급!$A$5:$A$12,0))=0,"-",INDEX(등급!$K$5:$K$12,MATCH($D187,등급!$A$5:$A$12,0))&amp;"~"&amp;INDEX(등급!$L$5:$L$12,MATCH($D187,등급!$A$5:$A$12,0))&amp;"개")</f>
        <v>0~1개</v>
      </c>
    </row>
    <row r="188" customFormat="false" ht="15" hidden="false" customHeight="false" outlineLevel="0" collapsed="false">
      <c r="A188" s="19" t="str">
        <f aca="false">장비_기본!B27</f>
        <v>명사수의 소울 메달</v>
      </c>
      <c r="B188" s="19" t="str">
        <f aca="false">장비_기본!C27</f>
        <v>소울 메달</v>
      </c>
      <c r="C188" s="19" t="str">
        <f aca="false">장비_기본!D27</f>
        <v>원딜</v>
      </c>
      <c r="D188" s="8" t="s">
        <v>51</v>
      </c>
      <c r="E188" s="19" t="str">
        <f aca="false">장비_기본!F27</f>
        <v>치명타 확률</v>
      </c>
      <c r="F188" s="21" t="n">
        <f aca="false">장비_기본!G27*INDEX(등급!$C$5:$C$12,MATCH($D188,등급!$A$5:$A$12,0))</f>
        <v>0.0528</v>
      </c>
      <c r="G188" s="19" t="str">
        <f aca="false">장비_기본!H27</f>
        <v>① 스킬 위력</v>
      </c>
      <c r="H188" s="21" t="n">
        <f aca="false">장비_기본!I27*INDEX(등급!$C$5:$C$12,MATCH($D188,등급!$A$5:$A$12,0))</f>
        <v>0.33</v>
      </c>
      <c r="I188" s="13" t="s">
        <v>78</v>
      </c>
      <c r="J188" s="12"/>
      <c r="K188" s="19" t="n">
        <f aca="false">INDEX(등급!$D$5:$D$12,MATCH($D188,등급!$A$5:$A$12,0))</f>
        <v>4</v>
      </c>
      <c r="L188" s="19" t="str">
        <f aca="false">IF(INDEX(등급!$H$5:$H$12,MATCH($D188,등급!$A$5:$A$12,0))=0,"-",IF(INDEX(등급!$G$5:$G$12,MATCH($D188,등급!$A$5:$A$12,0))=INDEX(등급!$H$5:$H$12,MATCH($D188,등급!$A$5:$A$12,0)),INDEX(등급!$G$5:$G$12,MATCH($D188,등급!$A$5:$A$12,0))&amp;"칸",INDEX(등급!$G$5:$G$12,MATCH($D188,등급!$A$5:$A$12,0))&amp;"~"&amp;INDEX(등급!$H$5:$H$12,MATCH($D188,등급!$A$5:$A$12,0))&amp;"칸"))</f>
        <v>1~3칸</v>
      </c>
      <c r="M188" s="19" t="str">
        <f aca="false">IF(INDEX(등급!$J$5:$J$12,MATCH($D188,등급!$A$5:$A$12,0))=0,"-",IF(INDEX(등급!$I$5:$I$12,MATCH($D188,등급!$A$5:$A$12,0))=INDEX(등급!$J$5:$J$12,MATCH($D188,등급!$A$5:$A$12,0)),INDEX(등급!$I$5:$I$12,MATCH($D188,등급!$A$5:$A$12,0))&amp;"개",INDEX(등급!$I$5:$I$12,MATCH($D188,등급!$A$5:$A$12,0))&amp;"~"&amp;INDEX(등급!$J$5:$J$12,MATCH($D188,등급!$A$5:$A$12,0))&amp;"개"))</f>
        <v>1개</v>
      </c>
      <c r="N188" s="19" t="str">
        <f aca="false">IF(INDEX(등급!$L$5:$L$12,MATCH($D188,등급!$A$5:$A$12,0))=0,"-",INDEX(등급!$K$5:$K$12,MATCH($D188,등급!$A$5:$A$12,0))&amp;"~"&amp;INDEX(등급!$L$5:$L$12,MATCH($D188,등급!$A$5:$A$12,0))&amp;"개")</f>
        <v>0~2개</v>
      </c>
    </row>
    <row r="189" customFormat="false" ht="15" hidden="false" customHeight="false" outlineLevel="0" collapsed="false">
      <c r="A189" s="19" t="str">
        <f aca="false">장비_기본!B28</f>
        <v>바람의 소울 메달</v>
      </c>
      <c r="B189" s="19" t="str">
        <f aca="false">장비_기본!C28</f>
        <v>소울 메달</v>
      </c>
      <c r="C189" s="19" t="str">
        <f aca="false">장비_기본!D28</f>
        <v>원딜</v>
      </c>
      <c r="D189" s="8" t="s">
        <v>43</v>
      </c>
      <c r="E189" s="19" t="str">
        <f aca="false">장비_기본!F28</f>
        <v>치명타 확률</v>
      </c>
      <c r="F189" s="21" t="n">
        <f aca="false">장비_기본!G28*INDEX(등급!$C$5:$C$12,MATCH($D189,등급!$A$5:$A$12,0))</f>
        <v>0.016</v>
      </c>
      <c r="G189" s="19" t="str">
        <f aca="false">장비_기본!H28</f>
        <v>② 스킬 위력</v>
      </c>
      <c r="H189" s="21" t="n">
        <f aca="false">장비_기본!I28*INDEX(등급!$C$5:$C$12,MATCH($D189,등급!$A$5:$A$12,0))</f>
        <v>0.1</v>
      </c>
      <c r="I189" s="13" t="s">
        <v>78</v>
      </c>
      <c r="J189" s="12"/>
      <c r="K189" s="19" t="n">
        <f aca="false">INDEX(등급!$D$5:$D$12,MATCH($D189,등급!$A$5:$A$12,0))</f>
        <v>0</v>
      </c>
      <c r="L189" s="19" t="str">
        <f aca="false">IF(INDEX(등급!$H$5:$H$12,MATCH($D189,등급!$A$5:$A$12,0))=0,"-",IF(INDEX(등급!$G$5:$G$12,MATCH($D189,등급!$A$5:$A$12,0))=INDEX(등급!$H$5:$H$12,MATCH($D189,등급!$A$5:$A$12,0)),INDEX(등급!$G$5:$G$12,MATCH($D189,등급!$A$5:$A$12,0))&amp;"칸",INDEX(등급!$G$5:$G$12,MATCH($D189,등급!$A$5:$A$12,0))&amp;"~"&amp;INDEX(등급!$H$5:$H$12,MATCH($D189,등급!$A$5:$A$12,0))&amp;"칸"))</f>
        <v>-</v>
      </c>
      <c r="M189" s="19" t="str">
        <f aca="false">IF(INDEX(등급!$J$5:$J$12,MATCH($D189,등급!$A$5:$A$12,0))=0,"-",IF(INDEX(등급!$I$5:$I$12,MATCH($D189,등급!$A$5:$A$12,0))=INDEX(등급!$J$5:$J$12,MATCH($D189,등급!$A$5:$A$12,0)),INDEX(등급!$I$5:$I$12,MATCH($D189,등급!$A$5:$A$12,0))&amp;"개",INDEX(등급!$I$5:$I$12,MATCH($D189,등급!$A$5:$A$12,0))&amp;"~"&amp;INDEX(등급!$J$5:$J$12,MATCH($D189,등급!$A$5:$A$12,0))&amp;"개"))</f>
        <v>-</v>
      </c>
      <c r="N189" s="19" t="str">
        <f aca="false">IF(INDEX(등급!$L$5:$L$12,MATCH($D189,등급!$A$5:$A$12,0))=0,"-",INDEX(등급!$K$5:$K$12,MATCH($D189,등급!$A$5:$A$12,0))&amp;"~"&amp;INDEX(등급!$L$5:$L$12,MATCH($D189,등급!$A$5:$A$12,0))&amp;"개")</f>
        <v>-</v>
      </c>
    </row>
    <row r="190" customFormat="false" ht="15" hidden="false" customHeight="false" outlineLevel="0" collapsed="false">
      <c r="A190" s="19" t="str">
        <f aca="false">장비_기본!B28</f>
        <v>바람의 소울 메달</v>
      </c>
      <c r="B190" s="19" t="str">
        <f aca="false">장비_기본!C28</f>
        <v>소울 메달</v>
      </c>
      <c r="C190" s="19" t="str">
        <f aca="false">장비_기본!D28</f>
        <v>원딜</v>
      </c>
      <c r="D190" s="8" t="s">
        <v>44</v>
      </c>
      <c r="E190" s="19" t="str">
        <f aca="false">장비_기본!F28</f>
        <v>치명타 확률</v>
      </c>
      <c r="F190" s="21" t="n">
        <f aca="false">장비_기본!G28*INDEX(등급!$C$5:$C$12,MATCH($D190,등급!$A$5:$A$12,0))</f>
        <v>0.0232</v>
      </c>
      <c r="G190" s="19" t="str">
        <f aca="false">장비_기본!H28</f>
        <v>② 스킬 위력</v>
      </c>
      <c r="H190" s="21" t="n">
        <f aca="false">장비_기본!I28*INDEX(등급!$C$5:$C$12,MATCH($D190,등급!$A$5:$A$12,0))</f>
        <v>0.145</v>
      </c>
      <c r="I190" s="13" t="s">
        <v>78</v>
      </c>
      <c r="J190" s="12"/>
      <c r="K190" s="19" t="n">
        <f aca="false">INDEX(등급!$D$5:$D$12,MATCH($D190,등급!$A$5:$A$12,0))</f>
        <v>0</v>
      </c>
      <c r="L190" s="19" t="str">
        <f aca="false">IF(INDEX(등급!$H$5:$H$12,MATCH($D190,등급!$A$5:$A$12,0))=0,"-",IF(INDEX(등급!$G$5:$G$12,MATCH($D190,등급!$A$5:$A$12,0))=INDEX(등급!$H$5:$H$12,MATCH($D190,등급!$A$5:$A$12,0)),INDEX(등급!$G$5:$G$12,MATCH($D190,등급!$A$5:$A$12,0))&amp;"칸",INDEX(등급!$G$5:$G$12,MATCH($D190,등급!$A$5:$A$12,0))&amp;"~"&amp;INDEX(등급!$H$5:$H$12,MATCH($D190,등급!$A$5:$A$12,0))&amp;"칸"))</f>
        <v>-</v>
      </c>
      <c r="M190" s="19" t="str">
        <f aca="false">IF(INDEX(등급!$J$5:$J$12,MATCH($D190,등급!$A$5:$A$12,0))=0,"-",IF(INDEX(등급!$I$5:$I$12,MATCH($D190,등급!$A$5:$A$12,0))=INDEX(등급!$J$5:$J$12,MATCH($D190,등급!$A$5:$A$12,0)),INDEX(등급!$I$5:$I$12,MATCH($D190,등급!$A$5:$A$12,0))&amp;"개",INDEX(등급!$I$5:$I$12,MATCH($D190,등급!$A$5:$A$12,0))&amp;"~"&amp;INDEX(등급!$J$5:$J$12,MATCH($D190,등급!$A$5:$A$12,0))&amp;"개"))</f>
        <v>-</v>
      </c>
      <c r="N190" s="19" t="str">
        <f aca="false">IF(INDEX(등급!$L$5:$L$12,MATCH($D190,등급!$A$5:$A$12,0))=0,"-",INDEX(등급!$K$5:$K$12,MATCH($D190,등급!$A$5:$A$12,0))&amp;"~"&amp;INDEX(등급!$L$5:$L$12,MATCH($D190,등급!$A$5:$A$12,0))&amp;"개")</f>
        <v>-</v>
      </c>
    </row>
    <row r="191" customFormat="false" ht="15" hidden="false" customHeight="false" outlineLevel="0" collapsed="false">
      <c r="A191" s="19" t="str">
        <f aca="false">장비_기본!B28</f>
        <v>바람의 소울 메달</v>
      </c>
      <c r="B191" s="19" t="str">
        <f aca="false">장비_기본!C28</f>
        <v>소울 메달</v>
      </c>
      <c r="C191" s="19" t="str">
        <f aca="false">장비_기본!D28</f>
        <v>원딜</v>
      </c>
      <c r="D191" s="8" t="s">
        <v>45</v>
      </c>
      <c r="E191" s="19" t="str">
        <f aca="false">장비_기본!F28</f>
        <v>치명타 확률</v>
      </c>
      <c r="F191" s="21" t="n">
        <f aca="false">장비_기본!G28*INDEX(등급!$C$5:$C$12,MATCH($D191,등급!$A$5:$A$12,0))</f>
        <v>0.0272</v>
      </c>
      <c r="G191" s="19" t="str">
        <f aca="false">장비_기본!H28</f>
        <v>② 스킬 위력</v>
      </c>
      <c r="H191" s="21" t="n">
        <f aca="false">장비_기본!I28*INDEX(등급!$C$5:$C$12,MATCH($D191,등급!$A$5:$A$12,0))</f>
        <v>0.17</v>
      </c>
      <c r="I191" s="13" t="s">
        <v>78</v>
      </c>
      <c r="J191" s="12"/>
      <c r="K191" s="19" t="n">
        <f aca="false">INDEX(등급!$D$5:$D$12,MATCH($D191,등급!$A$5:$A$12,0))</f>
        <v>1</v>
      </c>
      <c r="L191" s="19" t="str">
        <f aca="false">IF(INDEX(등급!$H$5:$H$12,MATCH($D191,등급!$A$5:$A$12,0))=0,"-",IF(INDEX(등급!$G$5:$G$12,MATCH($D191,등급!$A$5:$A$12,0))=INDEX(등급!$H$5:$H$12,MATCH($D191,등급!$A$5:$A$12,0)),INDEX(등급!$G$5:$G$12,MATCH($D191,등급!$A$5:$A$12,0))&amp;"칸",INDEX(등급!$G$5:$G$12,MATCH($D191,등급!$A$5:$A$12,0))&amp;"~"&amp;INDEX(등급!$H$5:$H$12,MATCH($D191,등급!$A$5:$A$12,0))&amp;"칸"))</f>
        <v>-</v>
      </c>
      <c r="M191" s="19" t="str">
        <f aca="false">IF(INDEX(등급!$J$5:$J$12,MATCH($D191,등급!$A$5:$A$12,0))=0,"-",IF(INDEX(등급!$I$5:$I$12,MATCH($D191,등급!$A$5:$A$12,0))=INDEX(등급!$J$5:$J$12,MATCH($D191,등급!$A$5:$A$12,0)),INDEX(등급!$I$5:$I$12,MATCH($D191,등급!$A$5:$A$12,0))&amp;"개",INDEX(등급!$I$5:$I$12,MATCH($D191,등급!$A$5:$A$12,0))&amp;"~"&amp;INDEX(등급!$J$5:$J$12,MATCH($D191,등급!$A$5:$A$12,0))&amp;"개"))</f>
        <v>-</v>
      </c>
      <c r="N191" s="19" t="str">
        <f aca="false">IF(INDEX(등급!$L$5:$L$12,MATCH($D191,등급!$A$5:$A$12,0))=0,"-",INDEX(등급!$K$5:$K$12,MATCH($D191,등급!$A$5:$A$12,0))&amp;"~"&amp;INDEX(등급!$L$5:$L$12,MATCH($D191,등급!$A$5:$A$12,0))&amp;"개")</f>
        <v>-</v>
      </c>
    </row>
    <row r="192" customFormat="false" ht="15" hidden="false" customHeight="false" outlineLevel="0" collapsed="false">
      <c r="A192" s="19" t="str">
        <f aca="false">장비_기본!B28</f>
        <v>바람의 소울 메달</v>
      </c>
      <c r="B192" s="19" t="str">
        <f aca="false">장비_기본!C28</f>
        <v>소울 메달</v>
      </c>
      <c r="C192" s="19" t="str">
        <f aca="false">장비_기본!D28</f>
        <v>원딜</v>
      </c>
      <c r="D192" s="8" t="s">
        <v>46</v>
      </c>
      <c r="E192" s="19" t="str">
        <f aca="false">장비_기본!F28</f>
        <v>치명타 확률</v>
      </c>
      <c r="F192" s="21" t="n">
        <f aca="false">장비_기본!G28*INDEX(등급!$C$5:$C$12,MATCH($D192,등급!$A$5:$A$12,0))</f>
        <v>0.0336</v>
      </c>
      <c r="G192" s="19" t="str">
        <f aca="false">장비_기본!H28</f>
        <v>② 스킬 위력</v>
      </c>
      <c r="H192" s="21" t="n">
        <f aca="false">장비_기본!I28*INDEX(등급!$C$5:$C$12,MATCH($D192,등급!$A$5:$A$12,0))</f>
        <v>0.21</v>
      </c>
      <c r="I192" s="13" t="s">
        <v>78</v>
      </c>
      <c r="J192" s="12"/>
      <c r="K192" s="19" t="n">
        <f aca="false">INDEX(등급!$D$5:$D$12,MATCH($D192,등급!$A$5:$A$12,0))</f>
        <v>2</v>
      </c>
      <c r="L192" s="19" t="str">
        <f aca="false">IF(INDEX(등급!$H$5:$H$12,MATCH($D192,등급!$A$5:$A$12,0))=0,"-",IF(INDEX(등급!$G$5:$G$12,MATCH($D192,등급!$A$5:$A$12,0))=INDEX(등급!$H$5:$H$12,MATCH($D192,등급!$A$5:$A$12,0)),INDEX(등급!$G$5:$G$12,MATCH($D192,등급!$A$5:$A$12,0))&amp;"칸",INDEX(등급!$G$5:$G$12,MATCH($D192,등급!$A$5:$A$12,0))&amp;"~"&amp;INDEX(등급!$H$5:$H$12,MATCH($D192,등급!$A$5:$A$12,0))&amp;"칸"))</f>
        <v>-</v>
      </c>
      <c r="M192" s="19" t="str">
        <f aca="false">IF(INDEX(등급!$J$5:$J$12,MATCH($D192,등급!$A$5:$A$12,0))=0,"-",IF(INDEX(등급!$I$5:$I$12,MATCH($D192,등급!$A$5:$A$12,0))=INDEX(등급!$J$5:$J$12,MATCH($D192,등급!$A$5:$A$12,0)),INDEX(등급!$I$5:$I$12,MATCH($D192,등급!$A$5:$A$12,0))&amp;"개",INDEX(등급!$I$5:$I$12,MATCH($D192,등급!$A$5:$A$12,0))&amp;"~"&amp;INDEX(등급!$J$5:$J$12,MATCH($D192,등급!$A$5:$A$12,0))&amp;"개"))</f>
        <v>-</v>
      </c>
      <c r="N192" s="19" t="str">
        <f aca="false">IF(INDEX(등급!$L$5:$L$12,MATCH($D192,등급!$A$5:$A$12,0))=0,"-",INDEX(등급!$K$5:$K$12,MATCH($D192,등급!$A$5:$A$12,0))&amp;"~"&amp;INDEX(등급!$L$5:$L$12,MATCH($D192,등급!$A$5:$A$12,0))&amp;"개")</f>
        <v>-</v>
      </c>
    </row>
    <row r="193" customFormat="false" ht="15" hidden="false" customHeight="false" outlineLevel="0" collapsed="false">
      <c r="A193" s="19" t="str">
        <f aca="false">장비_기본!B28</f>
        <v>바람의 소울 메달</v>
      </c>
      <c r="B193" s="19" t="str">
        <f aca="false">장비_기본!C28</f>
        <v>소울 메달</v>
      </c>
      <c r="C193" s="19" t="str">
        <f aca="false">장비_기본!D28</f>
        <v>원딜</v>
      </c>
      <c r="D193" s="8" t="s">
        <v>47</v>
      </c>
      <c r="E193" s="19" t="str">
        <f aca="false">장비_기본!F28</f>
        <v>치명타 확률</v>
      </c>
      <c r="F193" s="21" t="n">
        <f aca="false">장비_기본!G28*INDEX(등급!$C$5:$C$12,MATCH($D193,등급!$A$5:$A$12,0))</f>
        <v>0.0408</v>
      </c>
      <c r="G193" s="19" t="str">
        <f aca="false">장비_기본!H28</f>
        <v>② 스킬 위력</v>
      </c>
      <c r="H193" s="21" t="n">
        <f aca="false">장비_기본!I28*INDEX(등급!$C$5:$C$12,MATCH($D193,등급!$A$5:$A$12,0))</f>
        <v>0.255</v>
      </c>
      <c r="I193" s="13" t="s">
        <v>78</v>
      </c>
      <c r="J193" s="12"/>
      <c r="K193" s="19" t="n">
        <f aca="false">INDEX(등급!$D$5:$D$12,MATCH($D193,등급!$A$5:$A$12,0))</f>
        <v>3</v>
      </c>
      <c r="L193" s="19" t="str">
        <f aca="false">IF(INDEX(등급!$H$5:$H$12,MATCH($D193,등급!$A$5:$A$12,0))=0,"-",IF(INDEX(등급!$G$5:$G$12,MATCH($D193,등급!$A$5:$A$12,0))=INDEX(등급!$H$5:$H$12,MATCH($D193,등급!$A$5:$A$12,0)),INDEX(등급!$G$5:$G$12,MATCH($D193,등급!$A$5:$A$12,0))&amp;"칸",INDEX(등급!$G$5:$G$12,MATCH($D193,등급!$A$5:$A$12,0))&amp;"~"&amp;INDEX(등급!$H$5:$H$12,MATCH($D193,등급!$A$5:$A$12,0))&amp;"칸"))</f>
        <v>-</v>
      </c>
      <c r="M193" s="19" t="str">
        <f aca="false">IF(INDEX(등급!$J$5:$J$12,MATCH($D193,등급!$A$5:$A$12,0))=0,"-",IF(INDEX(등급!$I$5:$I$12,MATCH($D193,등급!$A$5:$A$12,0))=INDEX(등급!$J$5:$J$12,MATCH($D193,등급!$A$5:$A$12,0)),INDEX(등급!$I$5:$I$12,MATCH($D193,등급!$A$5:$A$12,0))&amp;"개",INDEX(등급!$I$5:$I$12,MATCH($D193,등급!$A$5:$A$12,0))&amp;"~"&amp;INDEX(등급!$J$5:$J$12,MATCH($D193,등급!$A$5:$A$12,0))&amp;"개"))</f>
        <v>-</v>
      </c>
      <c r="N193" s="19" t="str">
        <f aca="false">IF(INDEX(등급!$L$5:$L$12,MATCH($D193,등급!$A$5:$A$12,0))=0,"-",INDEX(등급!$K$5:$K$12,MATCH($D193,등급!$A$5:$A$12,0))&amp;"~"&amp;INDEX(등급!$L$5:$L$12,MATCH($D193,등급!$A$5:$A$12,0))&amp;"개")</f>
        <v>-</v>
      </c>
    </row>
    <row r="194" customFormat="false" ht="15" hidden="false" customHeight="false" outlineLevel="0" collapsed="false">
      <c r="A194" s="19" t="str">
        <f aca="false">장비_기본!B28</f>
        <v>바람의 소울 메달</v>
      </c>
      <c r="B194" s="19" t="str">
        <f aca="false">장비_기본!C28</f>
        <v>소울 메달</v>
      </c>
      <c r="C194" s="19" t="str">
        <f aca="false">장비_기본!D28</f>
        <v>원딜</v>
      </c>
      <c r="D194" s="8" t="s">
        <v>48</v>
      </c>
      <c r="E194" s="19" t="str">
        <f aca="false">장비_기본!F28</f>
        <v>치명타 확률</v>
      </c>
      <c r="F194" s="21" t="n">
        <f aca="false">장비_기본!G28*INDEX(등급!$C$5:$C$12,MATCH($D194,등급!$A$5:$A$12,0))</f>
        <v>0.0488</v>
      </c>
      <c r="G194" s="19" t="str">
        <f aca="false">장비_기본!H28</f>
        <v>② 스킬 위력</v>
      </c>
      <c r="H194" s="21" t="n">
        <f aca="false">장비_기본!I28*INDEX(등급!$C$5:$C$12,MATCH($D194,등급!$A$5:$A$12,0))</f>
        <v>0.305</v>
      </c>
      <c r="I194" s="13" t="s">
        <v>78</v>
      </c>
      <c r="J194" s="12"/>
      <c r="K194" s="19" t="n">
        <f aca="false">INDEX(등급!$D$5:$D$12,MATCH($D194,등급!$A$5:$A$12,0))</f>
        <v>4</v>
      </c>
      <c r="L194" s="19" t="str">
        <f aca="false">IF(INDEX(등급!$H$5:$H$12,MATCH($D194,등급!$A$5:$A$12,0))=0,"-",IF(INDEX(등급!$G$5:$G$12,MATCH($D194,등급!$A$5:$A$12,0))=INDEX(등급!$H$5:$H$12,MATCH($D194,등급!$A$5:$A$12,0)),INDEX(등급!$G$5:$G$12,MATCH($D194,등급!$A$5:$A$12,0))&amp;"칸",INDEX(등급!$G$5:$G$12,MATCH($D194,등급!$A$5:$A$12,0))&amp;"~"&amp;INDEX(등급!$H$5:$H$12,MATCH($D194,등급!$A$5:$A$12,0))&amp;"칸"))</f>
        <v>-</v>
      </c>
      <c r="M194" s="19" t="str">
        <f aca="false">IF(INDEX(등급!$J$5:$J$12,MATCH($D194,등급!$A$5:$A$12,0))=0,"-",IF(INDEX(등급!$I$5:$I$12,MATCH($D194,등급!$A$5:$A$12,0))=INDEX(등급!$J$5:$J$12,MATCH($D194,등급!$A$5:$A$12,0)),INDEX(등급!$I$5:$I$12,MATCH($D194,등급!$A$5:$A$12,0))&amp;"개",INDEX(등급!$I$5:$I$12,MATCH($D194,등급!$A$5:$A$12,0))&amp;"~"&amp;INDEX(등급!$J$5:$J$12,MATCH($D194,등급!$A$5:$A$12,0))&amp;"개"))</f>
        <v>-</v>
      </c>
      <c r="N194" s="19" t="str">
        <f aca="false">IF(INDEX(등급!$L$5:$L$12,MATCH($D194,등급!$A$5:$A$12,0))=0,"-",INDEX(등급!$K$5:$K$12,MATCH($D194,등급!$A$5:$A$12,0))&amp;"~"&amp;INDEX(등급!$L$5:$L$12,MATCH($D194,등급!$A$5:$A$12,0))&amp;"개")</f>
        <v>-</v>
      </c>
    </row>
    <row r="195" customFormat="false" ht="15" hidden="false" customHeight="false" outlineLevel="0" collapsed="false">
      <c r="A195" s="19" t="str">
        <f aca="false">장비_기본!B28</f>
        <v>바람의 소울 메달</v>
      </c>
      <c r="B195" s="19" t="str">
        <f aca="false">장비_기본!C28</f>
        <v>소울 메달</v>
      </c>
      <c r="C195" s="19" t="str">
        <f aca="false">장비_기본!D28</f>
        <v>원딜</v>
      </c>
      <c r="D195" s="8" t="s">
        <v>49</v>
      </c>
      <c r="E195" s="19" t="str">
        <f aca="false">장비_기본!F28</f>
        <v>치명타 확률</v>
      </c>
      <c r="F195" s="21" t="n">
        <f aca="false">장비_기본!G28*INDEX(등급!$C$5:$C$12,MATCH($D195,등급!$A$5:$A$12,0))</f>
        <v>0.0512</v>
      </c>
      <c r="G195" s="19" t="str">
        <f aca="false">장비_기본!H28</f>
        <v>② 스킬 위력</v>
      </c>
      <c r="H195" s="21" t="n">
        <f aca="false">장비_기본!I28*INDEX(등급!$C$5:$C$12,MATCH($D195,등급!$A$5:$A$12,0))</f>
        <v>0.32</v>
      </c>
      <c r="I195" s="13" t="s">
        <v>78</v>
      </c>
      <c r="J195" s="12"/>
      <c r="K195" s="19" t="n">
        <f aca="false">INDEX(등급!$D$5:$D$12,MATCH($D195,등급!$A$5:$A$12,0))</f>
        <v>4</v>
      </c>
      <c r="L195" s="19" t="str">
        <f aca="false">IF(INDEX(등급!$H$5:$H$12,MATCH($D195,등급!$A$5:$A$12,0))=0,"-",IF(INDEX(등급!$G$5:$G$12,MATCH($D195,등급!$A$5:$A$12,0))=INDEX(등급!$H$5:$H$12,MATCH($D195,등급!$A$5:$A$12,0)),INDEX(등급!$G$5:$G$12,MATCH($D195,등급!$A$5:$A$12,0))&amp;"칸",INDEX(등급!$G$5:$G$12,MATCH($D195,등급!$A$5:$A$12,0))&amp;"~"&amp;INDEX(등급!$H$5:$H$12,MATCH($D195,등급!$A$5:$A$12,0))&amp;"칸"))</f>
        <v>1칸</v>
      </c>
      <c r="M195" s="19" t="str">
        <f aca="false">IF(INDEX(등급!$J$5:$J$12,MATCH($D195,등급!$A$5:$A$12,0))=0,"-",IF(INDEX(등급!$I$5:$I$12,MATCH($D195,등급!$A$5:$A$12,0))=INDEX(등급!$J$5:$J$12,MATCH($D195,등급!$A$5:$A$12,0)),INDEX(등급!$I$5:$I$12,MATCH($D195,등급!$A$5:$A$12,0))&amp;"개",INDEX(등급!$I$5:$I$12,MATCH($D195,등급!$A$5:$A$12,0))&amp;"~"&amp;INDEX(등급!$J$5:$J$12,MATCH($D195,등급!$A$5:$A$12,0))&amp;"개"))</f>
        <v>0~1개</v>
      </c>
      <c r="N195" s="19" t="str">
        <f aca="false">IF(INDEX(등급!$L$5:$L$12,MATCH($D195,등급!$A$5:$A$12,0))=0,"-",INDEX(등급!$K$5:$K$12,MATCH($D195,등급!$A$5:$A$12,0))&amp;"~"&amp;INDEX(등급!$L$5:$L$12,MATCH($D195,등급!$A$5:$A$12,0))&amp;"개")</f>
        <v>0~1개</v>
      </c>
    </row>
    <row r="196" customFormat="false" ht="15" hidden="false" customHeight="false" outlineLevel="0" collapsed="false">
      <c r="A196" s="19" t="str">
        <f aca="false">장비_기본!B28</f>
        <v>바람의 소울 메달</v>
      </c>
      <c r="B196" s="19" t="str">
        <f aca="false">장비_기본!C28</f>
        <v>소울 메달</v>
      </c>
      <c r="C196" s="19" t="str">
        <f aca="false">장비_기본!D28</f>
        <v>원딜</v>
      </c>
      <c r="D196" s="8" t="s">
        <v>51</v>
      </c>
      <c r="E196" s="19" t="str">
        <f aca="false">장비_기본!F28</f>
        <v>치명타 확률</v>
      </c>
      <c r="F196" s="21" t="n">
        <f aca="false">장비_기본!G28*INDEX(등급!$C$5:$C$12,MATCH($D196,등급!$A$5:$A$12,0))</f>
        <v>0.0528</v>
      </c>
      <c r="G196" s="19" t="str">
        <f aca="false">장비_기본!H28</f>
        <v>② 스킬 위력</v>
      </c>
      <c r="H196" s="21" t="n">
        <f aca="false">장비_기본!I28*INDEX(등급!$C$5:$C$12,MATCH($D196,등급!$A$5:$A$12,0))</f>
        <v>0.33</v>
      </c>
      <c r="I196" s="13" t="s">
        <v>78</v>
      </c>
      <c r="J196" s="12"/>
      <c r="K196" s="19" t="n">
        <f aca="false">INDEX(등급!$D$5:$D$12,MATCH($D196,등급!$A$5:$A$12,0))</f>
        <v>4</v>
      </c>
      <c r="L196" s="19" t="str">
        <f aca="false">IF(INDEX(등급!$H$5:$H$12,MATCH($D196,등급!$A$5:$A$12,0))=0,"-",IF(INDEX(등급!$G$5:$G$12,MATCH($D196,등급!$A$5:$A$12,0))=INDEX(등급!$H$5:$H$12,MATCH($D196,등급!$A$5:$A$12,0)),INDEX(등급!$G$5:$G$12,MATCH($D196,등급!$A$5:$A$12,0))&amp;"칸",INDEX(등급!$G$5:$G$12,MATCH($D196,등급!$A$5:$A$12,0))&amp;"~"&amp;INDEX(등급!$H$5:$H$12,MATCH($D196,등급!$A$5:$A$12,0))&amp;"칸"))</f>
        <v>1~3칸</v>
      </c>
      <c r="M196" s="19" t="str">
        <f aca="false">IF(INDEX(등급!$J$5:$J$12,MATCH($D196,등급!$A$5:$A$12,0))=0,"-",IF(INDEX(등급!$I$5:$I$12,MATCH($D196,등급!$A$5:$A$12,0))=INDEX(등급!$J$5:$J$12,MATCH($D196,등급!$A$5:$A$12,0)),INDEX(등급!$I$5:$I$12,MATCH($D196,등급!$A$5:$A$12,0))&amp;"개",INDEX(등급!$I$5:$I$12,MATCH($D196,등급!$A$5:$A$12,0))&amp;"~"&amp;INDEX(등급!$J$5:$J$12,MATCH($D196,등급!$A$5:$A$12,0))&amp;"개"))</f>
        <v>1개</v>
      </c>
      <c r="N196" s="19" t="str">
        <f aca="false">IF(INDEX(등급!$L$5:$L$12,MATCH($D196,등급!$A$5:$A$12,0))=0,"-",INDEX(등급!$K$5:$K$12,MATCH($D196,등급!$A$5:$A$12,0))&amp;"~"&amp;INDEX(등급!$L$5:$L$12,MATCH($D196,등급!$A$5:$A$12,0))&amp;"개")</f>
        <v>0~2개</v>
      </c>
    </row>
    <row r="197" customFormat="false" ht="15" hidden="false" customHeight="false" outlineLevel="0" collapsed="false">
      <c r="A197" s="19" t="str">
        <f aca="false">장비_기본!B29</f>
        <v>별빛 지팡이</v>
      </c>
      <c r="B197" s="19" t="str">
        <f aca="false">장비_기본!C29</f>
        <v>무기</v>
      </c>
      <c r="C197" s="19" t="str">
        <f aca="false">장비_기본!D29</f>
        <v>매지션</v>
      </c>
      <c r="D197" s="8" t="s">
        <v>43</v>
      </c>
      <c r="E197" s="19" t="str">
        <f aca="false">장비_기본!F29</f>
        <v>공격력</v>
      </c>
      <c r="F197" s="20" t="n">
        <f aca="false">장비_기본!G29*INDEX(등급!$C$5:$C$12,MATCH($D197,등급!$A$5:$A$12,0))</f>
        <v>4.4</v>
      </c>
      <c r="G197" s="19" t="str">
        <f aca="false">장비_기본!H29</f>
        <v>스킬 피해</v>
      </c>
      <c r="H197" s="21" t="n">
        <f aca="false">장비_기본!I29*INDEX(등급!$C$5:$C$12,MATCH($D197,등급!$A$5:$A$12,0))</f>
        <v>0.02</v>
      </c>
      <c r="I197" s="19" t="str">
        <f aca="false">장비_기본!J29</f>
        <v>① 별빛 탄 화상 피해 +[값]%</v>
      </c>
      <c r="J197" s="20" t="n">
        <f aca="false">ROUND(장비_기본!K29*INDEX(등급!$F$5:$F$12,MATCH($D197,등급!$A$5:$A$12,0)),1)</f>
        <v>10</v>
      </c>
      <c r="K197" s="19" t="n">
        <f aca="false">INDEX(등급!$D$5:$D$12,MATCH($D197,등급!$A$5:$A$12,0))</f>
        <v>0</v>
      </c>
      <c r="L197" s="19" t="str">
        <f aca="false">IF(INDEX(등급!$H$5:$H$12,MATCH($D197,등급!$A$5:$A$12,0))=0,"-",IF(INDEX(등급!$G$5:$G$12,MATCH($D197,등급!$A$5:$A$12,0))=INDEX(등급!$H$5:$H$12,MATCH($D197,등급!$A$5:$A$12,0)),INDEX(등급!$G$5:$G$12,MATCH($D197,등급!$A$5:$A$12,0))&amp;"칸",INDEX(등급!$G$5:$G$12,MATCH($D197,등급!$A$5:$A$12,0))&amp;"~"&amp;INDEX(등급!$H$5:$H$12,MATCH($D197,등급!$A$5:$A$12,0))&amp;"칸"))</f>
        <v>-</v>
      </c>
      <c r="M197" s="19" t="str">
        <f aca="false">IF(INDEX(등급!$J$5:$J$12,MATCH($D197,등급!$A$5:$A$12,0))=0,"-",IF(INDEX(등급!$I$5:$I$12,MATCH($D197,등급!$A$5:$A$12,0))=INDEX(등급!$J$5:$J$12,MATCH($D197,등급!$A$5:$A$12,0)),INDEX(등급!$I$5:$I$12,MATCH($D197,등급!$A$5:$A$12,0))&amp;"개",INDEX(등급!$I$5:$I$12,MATCH($D197,등급!$A$5:$A$12,0))&amp;"~"&amp;INDEX(등급!$J$5:$J$12,MATCH($D197,등급!$A$5:$A$12,0))&amp;"개"))</f>
        <v>-</v>
      </c>
      <c r="N197" s="19" t="str">
        <f aca="false">IF(INDEX(등급!$L$5:$L$12,MATCH($D197,등급!$A$5:$A$12,0))=0,"-",INDEX(등급!$K$5:$K$12,MATCH($D197,등급!$A$5:$A$12,0))&amp;"~"&amp;INDEX(등급!$L$5:$L$12,MATCH($D197,등급!$A$5:$A$12,0))&amp;"개")</f>
        <v>-</v>
      </c>
    </row>
    <row r="198" customFormat="false" ht="15" hidden="false" customHeight="false" outlineLevel="0" collapsed="false">
      <c r="A198" s="19" t="str">
        <f aca="false">장비_기본!B29</f>
        <v>별빛 지팡이</v>
      </c>
      <c r="B198" s="19" t="str">
        <f aca="false">장비_기본!C29</f>
        <v>무기</v>
      </c>
      <c r="C198" s="19" t="str">
        <f aca="false">장비_기본!D29</f>
        <v>매지션</v>
      </c>
      <c r="D198" s="8" t="s">
        <v>44</v>
      </c>
      <c r="E198" s="19" t="str">
        <f aca="false">장비_기본!F29</f>
        <v>공격력</v>
      </c>
      <c r="F198" s="20" t="n">
        <f aca="false">장비_기본!G29*INDEX(등급!$C$5:$C$12,MATCH($D198,등급!$A$5:$A$12,0))</f>
        <v>6.38</v>
      </c>
      <c r="G198" s="19" t="str">
        <f aca="false">장비_기본!H29</f>
        <v>스킬 피해</v>
      </c>
      <c r="H198" s="21" t="n">
        <f aca="false">장비_기본!I29*INDEX(등급!$C$5:$C$12,MATCH($D198,등급!$A$5:$A$12,0))</f>
        <v>0.029</v>
      </c>
      <c r="I198" s="19" t="str">
        <f aca="false">장비_기본!J29</f>
        <v>① 별빛 탄 화상 피해 +[값]%</v>
      </c>
      <c r="J198" s="20" t="n">
        <f aca="false">ROUND(장비_기본!K29*INDEX(등급!$F$5:$F$12,MATCH($D198,등급!$A$5:$A$12,0)),1)</f>
        <v>13.5</v>
      </c>
      <c r="K198" s="19" t="n">
        <f aca="false">INDEX(등급!$D$5:$D$12,MATCH($D198,등급!$A$5:$A$12,0))</f>
        <v>0</v>
      </c>
      <c r="L198" s="19" t="str">
        <f aca="false">IF(INDEX(등급!$H$5:$H$12,MATCH($D198,등급!$A$5:$A$12,0))=0,"-",IF(INDEX(등급!$G$5:$G$12,MATCH($D198,등급!$A$5:$A$12,0))=INDEX(등급!$H$5:$H$12,MATCH($D198,등급!$A$5:$A$12,0)),INDEX(등급!$G$5:$G$12,MATCH($D198,등급!$A$5:$A$12,0))&amp;"칸",INDEX(등급!$G$5:$G$12,MATCH($D198,등급!$A$5:$A$12,0))&amp;"~"&amp;INDEX(등급!$H$5:$H$12,MATCH($D198,등급!$A$5:$A$12,0))&amp;"칸"))</f>
        <v>-</v>
      </c>
      <c r="M198" s="19" t="str">
        <f aca="false">IF(INDEX(등급!$J$5:$J$12,MATCH($D198,등급!$A$5:$A$12,0))=0,"-",IF(INDEX(등급!$I$5:$I$12,MATCH($D198,등급!$A$5:$A$12,0))=INDEX(등급!$J$5:$J$12,MATCH($D198,등급!$A$5:$A$12,0)),INDEX(등급!$I$5:$I$12,MATCH($D198,등급!$A$5:$A$12,0))&amp;"개",INDEX(등급!$I$5:$I$12,MATCH($D198,등급!$A$5:$A$12,0))&amp;"~"&amp;INDEX(등급!$J$5:$J$12,MATCH($D198,등급!$A$5:$A$12,0))&amp;"개"))</f>
        <v>-</v>
      </c>
      <c r="N198" s="19" t="str">
        <f aca="false">IF(INDEX(등급!$L$5:$L$12,MATCH($D198,등급!$A$5:$A$12,0))=0,"-",INDEX(등급!$K$5:$K$12,MATCH($D198,등급!$A$5:$A$12,0))&amp;"~"&amp;INDEX(등급!$L$5:$L$12,MATCH($D198,등급!$A$5:$A$12,0))&amp;"개")</f>
        <v>-</v>
      </c>
    </row>
    <row r="199" customFormat="false" ht="15" hidden="false" customHeight="false" outlineLevel="0" collapsed="false">
      <c r="A199" s="19" t="str">
        <f aca="false">장비_기본!B29</f>
        <v>별빛 지팡이</v>
      </c>
      <c r="B199" s="19" t="str">
        <f aca="false">장비_기본!C29</f>
        <v>무기</v>
      </c>
      <c r="C199" s="19" t="str">
        <f aca="false">장비_기본!D29</f>
        <v>매지션</v>
      </c>
      <c r="D199" s="8" t="s">
        <v>45</v>
      </c>
      <c r="E199" s="19" t="str">
        <f aca="false">장비_기본!F29</f>
        <v>공격력</v>
      </c>
      <c r="F199" s="20" t="n">
        <f aca="false">장비_기본!G29*INDEX(등급!$C$5:$C$12,MATCH($D199,등급!$A$5:$A$12,0))</f>
        <v>7.48</v>
      </c>
      <c r="G199" s="19" t="str">
        <f aca="false">장비_기본!H29</f>
        <v>스킬 피해</v>
      </c>
      <c r="H199" s="21" t="n">
        <f aca="false">장비_기본!I29*INDEX(등급!$C$5:$C$12,MATCH($D199,등급!$A$5:$A$12,0))</f>
        <v>0.034</v>
      </c>
      <c r="I199" s="19" t="str">
        <f aca="false">장비_기본!J29</f>
        <v>① 별빛 탄 화상 피해 +[값]%</v>
      </c>
      <c r="J199" s="20" t="n">
        <f aca="false">ROUND(장비_기본!K29*INDEX(등급!$F$5:$F$12,MATCH($D199,등급!$A$5:$A$12,0)),1)</f>
        <v>15</v>
      </c>
      <c r="K199" s="19" t="n">
        <f aca="false">INDEX(등급!$D$5:$D$12,MATCH($D199,등급!$A$5:$A$12,0))</f>
        <v>1</v>
      </c>
      <c r="L199" s="19" t="str">
        <f aca="false">IF(INDEX(등급!$H$5:$H$12,MATCH($D199,등급!$A$5:$A$12,0))=0,"-",IF(INDEX(등급!$G$5:$G$12,MATCH($D199,등급!$A$5:$A$12,0))=INDEX(등급!$H$5:$H$12,MATCH($D199,등급!$A$5:$A$12,0)),INDEX(등급!$G$5:$G$12,MATCH($D199,등급!$A$5:$A$12,0))&amp;"칸",INDEX(등급!$G$5:$G$12,MATCH($D199,등급!$A$5:$A$12,0))&amp;"~"&amp;INDEX(등급!$H$5:$H$12,MATCH($D199,등급!$A$5:$A$12,0))&amp;"칸"))</f>
        <v>-</v>
      </c>
      <c r="M199" s="19" t="str">
        <f aca="false">IF(INDEX(등급!$J$5:$J$12,MATCH($D199,등급!$A$5:$A$12,0))=0,"-",IF(INDEX(등급!$I$5:$I$12,MATCH($D199,등급!$A$5:$A$12,0))=INDEX(등급!$J$5:$J$12,MATCH($D199,등급!$A$5:$A$12,0)),INDEX(등급!$I$5:$I$12,MATCH($D199,등급!$A$5:$A$12,0))&amp;"개",INDEX(등급!$I$5:$I$12,MATCH($D199,등급!$A$5:$A$12,0))&amp;"~"&amp;INDEX(등급!$J$5:$J$12,MATCH($D199,등급!$A$5:$A$12,0))&amp;"개"))</f>
        <v>-</v>
      </c>
      <c r="N199" s="19" t="str">
        <f aca="false">IF(INDEX(등급!$L$5:$L$12,MATCH($D199,등급!$A$5:$A$12,0))=0,"-",INDEX(등급!$K$5:$K$12,MATCH($D199,등급!$A$5:$A$12,0))&amp;"~"&amp;INDEX(등급!$L$5:$L$12,MATCH($D199,등급!$A$5:$A$12,0))&amp;"개")</f>
        <v>-</v>
      </c>
    </row>
    <row r="200" customFormat="false" ht="15" hidden="false" customHeight="false" outlineLevel="0" collapsed="false">
      <c r="A200" s="19" t="str">
        <f aca="false">장비_기본!B29</f>
        <v>별빛 지팡이</v>
      </c>
      <c r="B200" s="19" t="str">
        <f aca="false">장비_기본!C29</f>
        <v>무기</v>
      </c>
      <c r="C200" s="19" t="str">
        <f aca="false">장비_기본!D29</f>
        <v>매지션</v>
      </c>
      <c r="D200" s="8" t="s">
        <v>46</v>
      </c>
      <c r="E200" s="19" t="str">
        <f aca="false">장비_기본!F29</f>
        <v>공격력</v>
      </c>
      <c r="F200" s="20" t="n">
        <f aca="false">장비_기본!G29*INDEX(등급!$C$5:$C$12,MATCH($D200,등급!$A$5:$A$12,0))</f>
        <v>9.24</v>
      </c>
      <c r="G200" s="19" t="str">
        <f aca="false">장비_기본!H29</f>
        <v>스킬 피해</v>
      </c>
      <c r="H200" s="21" t="n">
        <f aca="false">장비_기본!I29*INDEX(등급!$C$5:$C$12,MATCH($D200,등급!$A$5:$A$12,0))</f>
        <v>0.042</v>
      </c>
      <c r="I200" s="19" t="str">
        <f aca="false">장비_기본!J29</f>
        <v>① 별빛 탄 화상 피해 +[값]%</v>
      </c>
      <c r="J200" s="20" t="n">
        <f aca="false">ROUND(장비_기본!K29*INDEX(등급!$F$5:$F$12,MATCH($D200,등급!$A$5:$A$12,0)),1)</f>
        <v>17.5</v>
      </c>
      <c r="K200" s="19" t="n">
        <f aca="false">INDEX(등급!$D$5:$D$12,MATCH($D200,등급!$A$5:$A$12,0))</f>
        <v>2</v>
      </c>
      <c r="L200" s="19" t="str">
        <f aca="false">IF(INDEX(등급!$H$5:$H$12,MATCH($D200,등급!$A$5:$A$12,0))=0,"-",IF(INDEX(등급!$G$5:$G$12,MATCH($D200,등급!$A$5:$A$12,0))=INDEX(등급!$H$5:$H$12,MATCH($D200,등급!$A$5:$A$12,0)),INDEX(등급!$G$5:$G$12,MATCH($D200,등급!$A$5:$A$12,0))&amp;"칸",INDEX(등급!$G$5:$G$12,MATCH($D200,등급!$A$5:$A$12,0))&amp;"~"&amp;INDEX(등급!$H$5:$H$12,MATCH($D200,등급!$A$5:$A$12,0))&amp;"칸"))</f>
        <v>-</v>
      </c>
      <c r="M200" s="19" t="str">
        <f aca="false">IF(INDEX(등급!$J$5:$J$12,MATCH($D200,등급!$A$5:$A$12,0))=0,"-",IF(INDEX(등급!$I$5:$I$12,MATCH($D200,등급!$A$5:$A$12,0))=INDEX(등급!$J$5:$J$12,MATCH($D200,등급!$A$5:$A$12,0)),INDEX(등급!$I$5:$I$12,MATCH($D200,등급!$A$5:$A$12,0))&amp;"개",INDEX(등급!$I$5:$I$12,MATCH($D200,등급!$A$5:$A$12,0))&amp;"~"&amp;INDEX(등급!$J$5:$J$12,MATCH($D200,등급!$A$5:$A$12,0))&amp;"개"))</f>
        <v>-</v>
      </c>
      <c r="N200" s="19" t="str">
        <f aca="false">IF(INDEX(등급!$L$5:$L$12,MATCH($D200,등급!$A$5:$A$12,0))=0,"-",INDEX(등급!$K$5:$K$12,MATCH($D200,등급!$A$5:$A$12,0))&amp;"~"&amp;INDEX(등급!$L$5:$L$12,MATCH($D200,등급!$A$5:$A$12,0))&amp;"개")</f>
        <v>-</v>
      </c>
    </row>
    <row r="201" customFormat="false" ht="15" hidden="false" customHeight="false" outlineLevel="0" collapsed="false">
      <c r="A201" s="19" t="str">
        <f aca="false">장비_기본!B29</f>
        <v>별빛 지팡이</v>
      </c>
      <c r="B201" s="19" t="str">
        <f aca="false">장비_기본!C29</f>
        <v>무기</v>
      </c>
      <c r="C201" s="19" t="str">
        <f aca="false">장비_기본!D29</f>
        <v>매지션</v>
      </c>
      <c r="D201" s="8" t="s">
        <v>47</v>
      </c>
      <c r="E201" s="19" t="str">
        <f aca="false">장비_기본!F29</f>
        <v>공격력</v>
      </c>
      <c r="F201" s="20" t="n">
        <f aca="false">장비_기본!G29*INDEX(등급!$C$5:$C$12,MATCH($D201,등급!$A$5:$A$12,0))</f>
        <v>11.22</v>
      </c>
      <c r="G201" s="19" t="str">
        <f aca="false">장비_기본!H29</f>
        <v>스킬 피해</v>
      </c>
      <c r="H201" s="21" t="n">
        <f aca="false">장비_기본!I29*INDEX(등급!$C$5:$C$12,MATCH($D201,등급!$A$5:$A$12,0))</f>
        <v>0.051</v>
      </c>
      <c r="I201" s="19" t="str">
        <f aca="false">장비_기본!J29</f>
        <v>① 별빛 탄 화상 피해 +[값]%</v>
      </c>
      <c r="J201" s="20" t="n">
        <f aca="false">ROUND(장비_기본!K29*INDEX(등급!$F$5:$F$12,MATCH($D201,등급!$A$5:$A$12,0)),1)</f>
        <v>20</v>
      </c>
      <c r="K201" s="19" t="n">
        <f aca="false">INDEX(등급!$D$5:$D$12,MATCH($D201,등급!$A$5:$A$12,0))</f>
        <v>3</v>
      </c>
      <c r="L201" s="19" t="str">
        <f aca="false">IF(INDEX(등급!$H$5:$H$12,MATCH($D201,등급!$A$5:$A$12,0))=0,"-",IF(INDEX(등급!$G$5:$G$12,MATCH($D201,등급!$A$5:$A$12,0))=INDEX(등급!$H$5:$H$12,MATCH($D201,등급!$A$5:$A$12,0)),INDEX(등급!$G$5:$G$12,MATCH($D201,등급!$A$5:$A$12,0))&amp;"칸",INDEX(등급!$G$5:$G$12,MATCH($D201,등급!$A$5:$A$12,0))&amp;"~"&amp;INDEX(등급!$H$5:$H$12,MATCH($D201,등급!$A$5:$A$12,0))&amp;"칸"))</f>
        <v>-</v>
      </c>
      <c r="M201" s="19" t="str">
        <f aca="false">IF(INDEX(등급!$J$5:$J$12,MATCH($D201,등급!$A$5:$A$12,0))=0,"-",IF(INDEX(등급!$I$5:$I$12,MATCH($D201,등급!$A$5:$A$12,0))=INDEX(등급!$J$5:$J$12,MATCH($D201,등급!$A$5:$A$12,0)),INDEX(등급!$I$5:$I$12,MATCH($D201,등급!$A$5:$A$12,0))&amp;"개",INDEX(등급!$I$5:$I$12,MATCH($D201,등급!$A$5:$A$12,0))&amp;"~"&amp;INDEX(등급!$J$5:$J$12,MATCH($D201,등급!$A$5:$A$12,0))&amp;"개"))</f>
        <v>-</v>
      </c>
      <c r="N201" s="19" t="str">
        <f aca="false">IF(INDEX(등급!$L$5:$L$12,MATCH($D201,등급!$A$5:$A$12,0))=0,"-",INDEX(등급!$K$5:$K$12,MATCH($D201,등급!$A$5:$A$12,0))&amp;"~"&amp;INDEX(등급!$L$5:$L$12,MATCH($D201,등급!$A$5:$A$12,0))&amp;"개")</f>
        <v>-</v>
      </c>
    </row>
    <row r="202" customFormat="false" ht="15" hidden="false" customHeight="false" outlineLevel="0" collapsed="false">
      <c r="A202" s="19" t="str">
        <f aca="false">장비_기본!B29</f>
        <v>별빛 지팡이</v>
      </c>
      <c r="B202" s="19" t="str">
        <f aca="false">장비_기본!C29</f>
        <v>무기</v>
      </c>
      <c r="C202" s="19" t="str">
        <f aca="false">장비_기본!D29</f>
        <v>매지션</v>
      </c>
      <c r="D202" s="8" t="s">
        <v>48</v>
      </c>
      <c r="E202" s="19" t="str">
        <f aca="false">장비_기본!F29</f>
        <v>공격력</v>
      </c>
      <c r="F202" s="20" t="n">
        <f aca="false">장비_기본!G29*INDEX(등급!$C$5:$C$12,MATCH($D202,등급!$A$5:$A$12,0))</f>
        <v>13.42</v>
      </c>
      <c r="G202" s="19" t="str">
        <f aca="false">장비_기본!H29</f>
        <v>스킬 피해</v>
      </c>
      <c r="H202" s="21" t="n">
        <f aca="false">장비_기본!I29*INDEX(등급!$C$5:$C$12,MATCH($D202,등급!$A$5:$A$12,0))</f>
        <v>0.061</v>
      </c>
      <c r="I202" s="19" t="str">
        <f aca="false">장비_기본!J29</f>
        <v>① 별빛 탄 화상 피해 +[값]%</v>
      </c>
      <c r="J202" s="20" t="n">
        <f aca="false">ROUND(장비_기본!K29*INDEX(등급!$F$5:$F$12,MATCH($D202,등급!$A$5:$A$12,0)),1)</f>
        <v>23</v>
      </c>
      <c r="K202" s="19" t="n">
        <f aca="false">INDEX(등급!$D$5:$D$12,MATCH($D202,등급!$A$5:$A$12,0))</f>
        <v>4</v>
      </c>
      <c r="L202" s="19" t="str">
        <f aca="false">IF(INDEX(등급!$H$5:$H$12,MATCH($D202,등급!$A$5:$A$12,0))=0,"-",IF(INDEX(등급!$G$5:$G$12,MATCH($D202,등급!$A$5:$A$12,0))=INDEX(등급!$H$5:$H$12,MATCH($D202,등급!$A$5:$A$12,0)),INDEX(등급!$G$5:$G$12,MATCH($D202,등급!$A$5:$A$12,0))&amp;"칸",INDEX(등급!$G$5:$G$12,MATCH($D202,등급!$A$5:$A$12,0))&amp;"~"&amp;INDEX(등급!$H$5:$H$12,MATCH($D202,등급!$A$5:$A$12,0))&amp;"칸"))</f>
        <v>-</v>
      </c>
      <c r="M202" s="19" t="str">
        <f aca="false">IF(INDEX(등급!$J$5:$J$12,MATCH($D202,등급!$A$5:$A$12,0))=0,"-",IF(INDEX(등급!$I$5:$I$12,MATCH($D202,등급!$A$5:$A$12,0))=INDEX(등급!$J$5:$J$12,MATCH($D202,등급!$A$5:$A$12,0)),INDEX(등급!$I$5:$I$12,MATCH($D202,등급!$A$5:$A$12,0))&amp;"개",INDEX(등급!$I$5:$I$12,MATCH($D202,등급!$A$5:$A$12,0))&amp;"~"&amp;INDEX(등급!$J$5:$J$12,MATCH($D202,등급!$A$5:$A$12,0))&amp;"개"))</f>
        <v>-</v>
      </c>
      <c r="N202" s="19" t="str">
        <f aca="false">IF(INDEX(등급!$L$5:$L$12,MATCH($D202,등급!$A$5:$A$12,0))=0,"-",INDEX(등급!$K$5:$K$12,MATCH($D202,등급!$A$5:$A$12,0))&amp;"~"&amp;INDEX(등급!$L$5:$L$12,MATCH($D202,등급!$A$5:$A$12,0))&amp;"개")</f>
        <v>-</v>
      </c>
    </row>
    <row r="203" customFormat="false" ht="15" hidden="false" customHeight="false" outlineLevel="0" collapsed="false">
      <c r="A203" s="19" t="str">
        <f aca="false">장비_기본!B29</f>
        <v>별빛 지팡이</v>
      </c>
      <c r="B203" s="19" t="str">
        <f aca="false">장비_기본!C29</f>
        <v>무기</v>
      </c>
      <c r="C203" s="19" t="str">
        <f aca="false">장비_기본!D29</f>
        <v>매지션</v>
      </c>
      <c r="D203" s="8" t="s">
        <v>49</v>
      </c>
      <c r="E203" s="19" t="str">
        <f aca="false">장비_기본!F29</f>
        <v>공격력</v>
      </c>
      <c r="F203" s="20" t="n">
        <f aca="false">장비_기본!G29*INDEX(등급!$C$5:$C$12,MATCH($D203,등급!$A$5:$A$12,0))</f>
        <v>14.08</v>
      </c>
      <c r="G203" s="19" t="str">
        <f aca="false">장비_기본!H29</f>
        <v>스킬 피해</v>
      </c>
      <c r="H203" s="21" t="n">
        <f aca="false">장비_기본!I29*INDEX(등급!$C$5:$C$12,MATCH($D203,등급!$A$5:$A$12,0))</f>
        <v>0.064</v>
      </c>
      <c r="I203" s="19" t="str">
        <f aca="false">장비_기본!J29</f>
        <v>① 별빛 탄 화상 피해 +[값]%</v>
      </c>
      <c r="J203" s="20" t="n">
        <f aca="false">ROUND(장비_기본!K29*INDEX(등급!$F$5:$F$12,MATCH($D203,등급!$A$5:$A$12,0)),1)</f>
        <v>26.5</v>
      </c>
      <c r="K203" s="19" t="n">
        <f aca="false">INDEX(등급!$D$5:$D$12,MATCH($D203,등급!$A$5:$A$12,0))</f>
        <v>4</v>
      </c>
      <c r="L203" s="19" t="str">
        <f aca="false">IF(INDEX(등급!$H$5:$H$12,MATCH($D203,등급!$A$5:$A$12,0))=0,"-",IF(INDEX(등급!$G$5:$G$12,MATCH($D203,등급!$A$5:$A$12,0))=INDEX(등급!$H$5:$H$12,MATCH($D203,등급!$A$5:$A$12,0)),INDEX(등급!$G$5:$G$12,MATCH($D203,등급!$A$5:$A$12,0))&amp;"칸",INDEX(등급!$G$5:$G$12,MATCH($D203,등급!$A$5:$A$12,0))&amp;"~"&amp;INDEX(등급!$H$5:$H$12,MATCH($D203,등급!$A$5:$A$12,0))&amp;"칸"))</f>
        <v>1칸</v>
      </c>
      <c r="M203" s="19" t="str">
        <f aca="false">IF(INDEX(등급!$J$5:$J$12,MATCH($D203,등급!$A$5:$A$12,0))=0,"-",IF(INDEX(등급!$I$5:$I$12,MATCH($D203,등급!$A$5:$A$12,0))=INDEX(등급!$J$5:$J$12,MATCH($D203,등급!$A$5:$A$12,0)),INDEX(등급!$I$5:$I$12,MATCH($D203,등급!$A$5:$A$12,0))&amp;"개",INDEX(등급!$I$5:$I$12,MATCH($D203,등급!$A$5:$A$12,0))&amp;"~"&amp;INDEX(등급!$J$5:$J$12,MATCH($D203,등급!$A$5:$A$12,0))&amp;"개"))</f>
        <v>0~1개</v>
      </c>
      <c r="N203" s="19" t="str">
        <f aca="false">IF(INDEX(등급!$L$5:$L$12,MATCH($D203,등급!$A$5:$A$12,0))=0,"-",INDEX(등급!$K$5:$K$12,MATCH($D203,등급!$A$5:$A$12,0))&amp;"~"&amp;INDEX(등급!$L$5:$L$12,MATCH($D203,등급!$A$5:$A$12,0))&amp;"개")</f>
        <v>0~1개</v>
      </c>
    </row>
    <row r="204" customFormat="false" ht="15" hidden="false" customHeight="false" outlineLevel="0" collapsed="false">
      <c r="A204" s="19" t="str">
        <f aca="false">장비_기본!B29</f>
        <v>별빛 지팡이</v>
      </c>
      <c r="B204" s="19" t="str">
        <f aca="false">장비_기본!C29</f>
        <v>무기</v>
      </c>
      <c r="C204" s="19" t="str">
        <f aca="false">장비_기본!D29</f>
        <v>매지션</v>
      </c>
      <c r="D204" s="8" t="s">
        <v>51</v>
      </c>
      <c r="E204" s="19" t="str">
        <f aca="false">장비_기본!F29</f>
        <v>공격력</v>
      </c>
      <c r="F204" s="20" t="n">
        <f aca="false">장비_기본!G29*INDEX(등급!$C$5:$C$12,MATCH($D204,등급!$A$5:$A$12,0))</f>
        <v>14.52</v>
      </c>
      <c r="G204" s="19" t="str">
        <f aca="false">장비_기본!H29</f>
        <v>스킬 피해</v>
      </c>
      <c r="H204" s="21" t="n">
        <f aca="false">장비_기본!I29*INDEX(등급!$C$5:$C$12,MATCH($D204,등급!$A$5:$A$12,0))</f>
        <v>0.066</v>
      </c>
      <c r="I204" s="19" t="str">
        <f aca="false">장비_기본!J29</f>
        <v>① 별빛 탄 화상 피해 +[값]%</v>
      </c>
      <c r="J204" s="20" t="n">
        <f aca="false">ROUND(장비_기본!K29*INDEX(등급!$F$5:$F$12,MATCH($D204,등급!$A$5:$A$12,0)),1)</f>
        <v>30</v>
      </c>
      <c r="K204" s="19" t="n">
        <f aca="false">INDEX(등급!$D$5:$D$12,MATCH($D204,등급!$A$5:$A$12,0))</f>
        <v>4</v>
      </c>
      <c r="L204" s="19" t="str">
        <f aca="false">IF(INDEX(등급!$H$5:$H$12,MATCH($D204,등급!$A$5:$A$12,0))=0,"-",IF(INDEX(등급!$G$5:$G$12,MATCH($D204,등급!$A$5:$A$12,0))=INDEX(등급!$H$5:$H$12,MATCH($D204,등급!$A$5:$A$12,0)),INDEX(등급!$G$5:$G$12,MATCH($D204,등급!$A$5:$A$12,0))&amp;"칸",INDEX(등급!$G$5:$G$12,MATCH($D204,등급!$A$5:$A$12,0))&amp;"~"&amp;INDEX(등급!$H$5:$H$12,MATCH($D204,등급!$A$5:$A$12,0))&amp;"칸"))</f>
        <v>1~3칸</v>
      </c>
      <c r="M204" s="19" t="str">
        <f aca="false">IF(INDEX(등급!$J$5:$J$12,MATCH($D204,등급!$A$5:$A$12,0))=0,"-",IF(INDEX(등급!$I$5:$I$12,MATCH($D204,등급!$A$5:$A$12,0))=INDEX(등급!$J$5:$J$12,MATCH($D204,등급!$A$5:$A$12,0)),INDEX(등급!$I$5:$I$12,MATCH($D204,등급!$A$5:$A$12,0))&amp;"개",INDEX(등급!$I$5:$I$12,MATCH($D204,등급!$A$5:$A$12,0))&amp;"~"&amp;INDEX(등급!$J$5:$J$12,MATCH($D204,등급!$A$5:$A$12,0))&amp;"개"))</f>
        <v>1개</v>
      </c>
      <c r="N204" s="19" t="str">
        <f aca="false">IF(INDEX(등급!$L$5:$L$12,MATCH($D204,등급!$A$5:$A$12,0))=0,"-",INDEX(등급!$K$5:$K$12,MATCH($D204,등급!$A$5:$A$12,0))&amp;"~"&amp;INDEX(등급!$L$5:$L$12,MATCH($D204,등급!$A$5:$A$12,0))&amp;"개")</f>
        <v>0~2개</v>
      </c>
    </row>
    <row r="205" customFormat="false" ht="15" hidden="false" customHeight="false" outlineLevel="0" collapsed="false">
      <c r="A205" s="19" t="str">
        <f aca="false">장비_기본!B30</f>
        <v>유성의 홀</v>
      </c>
      <c r="B205" s="19" t="str">
        <f aca="false">장비_기본!C30</f>
        <v>무기</v>
      </c>
      <c r="C205" s="19" t="str">
        <f aca="false">장비_기본!D30</f>
        <v>매지션</v>
      </c>
      <c r="D205" s="8" t="s">
        <v>43</v>
      </c>
      <c r="E205" s="19" t="str">
        <f aca="false">장비_기본!F30</f>
        <v>공격력</v>
      </c>
      <c r="F205" s="20" t="n">
        <f aca="false">장비_기본!G30*INDEX(등급!$C$5:$C$12,MATCH($D205,등급!$A$5:$A$12,0))</f>
        <v>4.4</v>
      </c>
      <c r="G205" s="19" t="str">
        <f aca="false">장비_기본!H30</f>
        <v>스킬 피해</v>
      </c>
      <c r="H205" s="21" t="n">
        <f aca="false">장비_기본!I30*INDEX(등급!$C$5:$C$12,MATCH($D205,등급!$A$5:$A$12,0))</f>
        <v>0.02</v>
      </c>
      <c r="I205" s="19" t="str">
        <f aca="false">장비_기본!J30</f>
        <v>② 유성우 범위 +[값]%</v>
      </c>
      <c r="J205" s="20" t="n">
        <f aca="false">ROUND(장비_기본!K30*INDEX(등급!$F$5:$F$12,MATCH($D205,등급!$A$5:$A$12,0)),1)</f>
        <v>6</v>
      </c>
      <c r="K205" s="19" t="n">
        <f aca="false">INDEX(등급!$D$5:$D$12,MATCH($D205,등급!$A$5:$A$12,0))</f>
        <v>0</v>
      </c>
      <c r="L205" s="19" t="str">
        <f aca="false">IF(INDEX(등급!$H$5:$H$12,MATCH($D205,등급!$A$5:$A$12,0))=0,"-",IF(INDEX(등급!$G$5:$G$12,MATCH($D205,등급!$A$5:$A$12,0))=INDEX(등급!$H$5:$H$12,MATCH($D205,등급!$A$5:$A$12,0)),INDEX(등급!$G$5:$G$12,MATCH($D205,등급!$A$5:$A$12,0))&amp;"칸",INDEX(등급!$G$5:$G$12,MATCH($D205,등급!$A$5:$A$12,0))&amp;"~"&amp;INDEX(등급!$H$5:$H$12,MATCH($D205,등급!$A$5:$A$12,0))&amp;"칸"))</f>
        <v>-</v>
      </c>
      <c r="M205" s="19" t="str">
        <f aca="false">IF(INDEX(등급!$J$5:$J$12,MATCH($D205,등급!$A$5:$A$12,0))=0,"-",IF(INDEX(등급!$I$5:$I$12,MATCH($D205,등급!$A$5:$A$12,0))=INDEX(등급!$J$5:$J$12,MATCH($D205,등급!$A$5:$A$12,0)),INDEX(등급!$I$5:$I$12,MATCH($D205,등급!$A$5:$A$12,0))&amp;"개",INDEX(등급!$I$5:$I$12,MATCH($D205,등급!$A$5:$A$12,0))&amp;"~"&amp;INDEX(등급!$J$5:$J$12,MATCH($D205,등급!$A$5:$A$12,0))&amp;"개"))</f>
        <v>-</v>
      </c>
      <c r="N205" s="19" t="str">
        <f aca="false">IF(INDEX(등급!$L$5:$L$12,MATCH($D205,등급!$A$5:$A$12,0))=0,"-",INDEX(등급!$K$5:$K$12,MATCH($D205,등급!$A$5:$A$12,0))&amp;"~"&amp;INDEX(등급!$L$5:$L$12,MATCH($D205,등급!$A$5:$A$12,0))&amp;"개")</f>
        <v>-</v>
      </c>
    </row>
    <row r="206" customFormat="false" ht="15" hidden="false" customHeight="false" outlineLevel="0" collapsed="false">
      <c r="A206" s="19" t="str">
        <f aca="false">장비_기본!B30</f>
        <v>유성의 홀</v>
      </c>
      <c r="B206" s="19" t="str">
        <f aca="false">장비_기본!C30</f>
        <v>무기</v>
      </c>
      <c r="C206" s="19" t="str">
        <f aca="false">장비_기본!D30</f>
        <v>매지션</v>
      </c>
      <c r="D206" s="8" t="s">
        <v>44</v>
      </c>
      <c r="E206" s="19" t="str">
        <f aca="false">장비_기본!F30</f>
        <v>공격력</v>
      </c>
      <c r="F206" s="20" t="n">
        <f aca="false">장비_기본!G30*INDEX(등급!$C$5:$C$12,MATCH($D206,등급!$A$5:$A$12,0))</f>
        <v>6.38</v>
      </c>
      <c r="G206" s="19" t="str">
        <f aca="false">장비_기본!H30</f>
        <v>스킬 피해</v>
      </c>
      <c r="H206" s="21" t="n">
        <f aca="false">장비_기본!I30*INDEX(등급!$C$5:$C$12,MATCH($D206,등급!$A$5:$A$12,0))</f>
        <v>0.029</v>
      </c>
      <c r="I206" s="19" t="str">
        <f aca="false">장비_기본!J30</f>
        <v>② 유성우 범위 +[값]%</v>
      </c>
      <c r="J206" s="20" t="n">
        <f aca="false">ROUND(장비_기본!K30*INDEX(등급!$F$5:$F$12,MATCH($D206,등급!$A$5:$A$12,0)),1)</f>
        <v>8.1</v>
      </c>
      <c r="K206" s="19" t="n">
        <f aca="false">INDEX(등급!$D$5:$D$12,MATCH($D206,등급!$A$5:$A$12,0))</f>
        <v>0</v>
      </c>
      <c r="L206" s="19" t="str">
        <f aca="false">IF(INDEX(등급!$H$5:$H$12,MATCH($D206,등급!$A$5:$A$12,0))=0,"-",IF(INDEX(등급!$G$5:$G$12,MATCH($D206,등급!$A$5:$A$12,0))=INDEX(등급!$H$5:$H$12,MATCH($D206,등급!$A$5:$A$12,0)),INDEX(등급!$G$5:$G$12,MATCH($D206,등급!$A$5:$A$12,0))&amp;"칸",INDEX(등급!$G$5:$G$12,MATCH($D206,등급!$A$5:$A$12,0))&amp;"~"&amp;INDEX(등급!$H$5:$H$12,MATCH($D206,등급!$A$5:$A$12,0))&amp;"칸"))</f>
        <v>-</v>
      </c>
      <c r="M206" s="19" t="str">
        <f aca="false">IF(INDEX(등급!$J$5:$J$12,MATCH($D206,등급!$A$5:$A$12,0))=0,"-",IF(INDEX(등급!$I$5:$I$12,MATCH($D206,등급!$A$5:$A$12,0))=INDEX(등급!$J$5:$J$12,MATCH($D206,등급!$A$5:$A$12,0)),INDEX(등급!$I$5:$I$12,MATCH($D206,등급!$A$5:$A$12,0))&amp;"개",INDEX(등급!$I$5:$I$12,MATCH($D206,등급!$A$5:$A$12,0))&amp;"~"&amp;INDEX(등급!$J$5:$J$12,MATCH($D206,등급!$A$5:$A$12,0))&amp;"개"))</f>
        <v>-</v>
      </c>
      <c r="N206" s="19" t="str">
        <f aca="false">IF(INDEX(등급!$L$5:$L$12,MATCH($D206,등급!$A$5:$A$12,0))=0,"-",INDEX(등급!$K$5:$K$12,MATCH($D206,등급!$A$5:$A$12,0))&amp;"~"&amp;INDEX(등급!$L$5:$L$12,MATCH($D206,등급!$A$5:$A$12,0))&amp;"개")</f>
        <v>-</v>
      </c>
    </row>
    <row r="207" customFormat="false" ht="15" hidden="false" customHeight="false" outlineLevel="0" collapsed="false">
      <c r="A207" s="19" t="str">
        <f aca="false">장비_기본!B30</f>
        <v>유성의 홀</v>
      </c>
      <c r="B207" s="19" t="str">
        <f aca="false">장비_기본!C30</f>
        <v>무기</v>
      </c>
      <c r="C207" s="19" t="str">
        <f aca="false">장비_기본!D30</f>
        <v>매지션</v>
      </c>
      <c r="D207" s="8" t="s">
        <v>45</v>
      </c>
      <c r="E207" s="19" t="str">
        <f aca="false">장비_기본!F30</f>
        <v>공격력</v>
      </c>
      <c r="F207" s="20" t="n">
        <f aca="false">장비_기본!G30*INDEX(등급!$C$5:$C$12,MATCH($D207,등급!$A$5:$A$12,0))</f>
        <v>7.48</v>
      </c>
      <c r="G207" s="19" t="str">
        <f aca="false">장비_기본!H30</f>
        <v>스킬 피해</v>
      </c>
      <c r="H207" s="21" t="n">
        <f aca="false">장비_기본!I30*INDEX(등급!$C$5:$C$12,MATCH($D207,등급!$A$5:$A$12,0))</f>
        <v>0.034</v>
      </c>
      <c r="I207" s="19" t="str">
        <f aca="false">장비_기본!J30</f>
        <v>② 유성우 범위 +[값]%</v>
      </c>
      <c r="J207" s="20" t="n">
        <f aca="false">ROUND(장비_기본!K30*INDEX(등급!$F$5:$F$12,MATCH($D207,등급!$A$5:$A$12,0)),1)</f>
        <v>9</v>
      </c>
      <c r="K207" s="19" t="n">
        <f aca="false">INDEX(등급!$D$5:$D$12,MATCH($D207,등급!$A$5:$A$12,0))</f>
        <v>1</v>
      </c>
      <c r="L207" s="19" t="str">
        <f aca="false">IF(INDEX(등급!$H$5:$H$12,MATCH($D207,등급!$A$5:$A$12,0))=0,"-",IF(INDEX(등급!$G$5:$G$12,MATCH($D207,등급!$A$5:$A$12,0))=INDEX(등급!$H$5:$H$12,MATCH($D207,등급!$A$5:$A$12,0)),INDEX(등급!$G$5:$G$12,MATCH($D207,등급!$A$5:$A$12,0))&amp;"칸",INDEX(등급!$G$5:$G$12,MATCH($D207,등급!$A$5:$A$12,0))&amp;"~"&amp;INDEX(등급!$H$5:$H$12,MATCH($D207,등급!$A$5:$A$12,0))&amp;"칸"))</f>
        <v>-</v>
      </c>
      <c r="M207" s="19" t="str">
        <f aca="false">IF(INDEX(등급!$J$5:$J$12,MATCH($D207,등급!$A$5:$A$12,0))=0,"-",IF(INDEX(등급!$I$5:$I$12,MATCH($D207,등급!$A$5:$A$12,0))=INDEX(등급!$J$5:$J$12,MATCH($D207,등급!$A$5:$A$12,0)),INDEX(등급!$I$5:$I$12,MATCH($D207,등급!$A$5:$A$12,0))&amp;"개",INDEX(등급!$I$5:$I$12,MATCH($D207,등급!$A$5:$A$12,0))&amp;"~"&amp;INDEX(등급!$J$5:$J$12,MATCH($D207,등급!$A$5:$A$12,0))&amp;"개"))</f>
        <v>-</v>
      </c>
      <c r="N207" s="19" t="str">
        <f aca="false">IF(INDEX(등급!$L$5:$L$12,MATCH($D207,등급!$A$5:$A$12,0))=0,"-",INDEX(등급!$K$5:$K$12,MATCH($D207,등급!$A$5:$A$12,0))&amp;"~"&amp;INDEX(등급!$L$5:$L$12,MATCH($D207,등급!$A$5:$A$12,0))&amp;"개")</f>
        <v>-</v>
      </c>
    </row>
    <row r="208" customFormat="false" ht="15" hidden="false" customHeight="false" outlineLevel="0" collapsed="false">
      <c r="A208" s="19" t="str">
        <f aca="false">장비_기본!B30</f>
        <v>유성의 홀</v>
      </c>
      <c r="B208" s="19" t="str">
        <f aca="false">장비_기본!C30</f>
        <v>무기</v>
      </c>
      <c r="C208" s="19" t="str">
        <f aca="false">장비_기본!D30</f>
        <v>매지션</v>
      </c>
      <c r="D208" s="8" t="s">
        <v>46</v>
      </c>
      <c r="E208" s="19" t="str">
        <f aca="false">장비_기본!F30</f>
        <v>공격력</v>
      </c>
      <c r="F208" s="20" t="n">
        <f aca="false">장비_기본!G30*INDEX(등급!$C$5:$C$12,MATCH($D208,등급!$A$5:$A$12,0))</f>
        <v>9.24</v>
      </c>
      <c r="G208" s="19" t="str">
        <f aca="false">장비_기본!H30</f>
        <v>스킬 피해</v>
      </c>
      <c r="H208" s="21" t="n">
        <f aca="false">장비_기본!I30*INDEX(등급!$C$5:$C$12,MATCH($D208,등급!$A$5:$A$12,0))</f>
        <v>0.042</v>
      </c>
      <c r="I208" s="19" t="str">
        <f aca="false">장비_기본!J30</f>
        <v>② 유성우 범위 +[값]%</v>
      </c>
      <c r="J208" s="20" t="n">
        <f aca="false">ROUND(장비_기본!K30*INDEX(등급!$F$5:$F$12,MATCH($D208,등급!$A$5:$A$12,0)),1)</f>
        <v>10.5</v>
      </c>
      <c r="K208" s="19" t="n">
        <f aca="false">INDEX(등급!$D$5:$D$12,MATCH($D208,등급!$A$5:$A$12,0))</f>
        <v>2</v>
      </c>
      <c r="L208" s="19" t="str">
        <f aca="false">IF(INDEX(등급!$H$5:$H$12,MATCH($D208,등급!$A$5:$A$12,0))=0,"-",IF(INDEX(등급!$G$5:$G$12,MATCH($D208,등급!$A$5:$A$12,0))=INDEX(등급!$H$5:$H$12,MATCH($D208,등급!$A$5:$A$12,0)),INDEX(등급!$G$5:$G$12,MATCH($D208,등급!$A$5:$A$12,0))&amp;"칸",INDEX(등급!$G$5:$G$12,MATCH($D208,등급!$A$5:$A$12,0))&amp;"~"&amp;INDEX(등급!$H$5:$H$12,MATCH($D208,등급!$A$5:$A$12,0))&amp;"칸"))</f>
        <v>-</v>
      </c>
      <c r="M208" s="19" t="str">
        <f aca="false">IF(INDEX(등급!$J$5:$J$12,MATCH($D208,등급!$A$5:$A$12,0))=0,"-",IF(INDEX(등급!$I$5:$I$12,MATCH($D208,등급!$A$5:$A$12,0))=INDEX(등급!$J$5:$J$12,MATCH($D208,등급!$A$5:$A$12,0)),INDEX(등급!$I$5:$I$12,MATCH($D208,등급!$A$5:$A$12,0))&amp;"개",INDEX(등급!$I$5:$I$12,MATCH($D208,등급!$A$5:$A$12,0))&amp;"~"&amp;INDEX(등급!$J$5:$J$12,MATCH($D208,등급!$A$5:$A$12,0))&amp;"개"))</f>
        <v>-</v>
      </c>
      <c r="N208" s="19" t="str">
        <f aca="false">IF(INDEX(등급!$L$5:$L$12,MATCH($D208,등급!$A$5:$A$12,0))=0,"-",INDEX(등급!$K$5:$K$12,MATCH($D208,등급!$A$5:$A$12,0))&amp;"~"&amp;INDEX(등급!$L$5:$L$12,MATCH($D208,등급!$A$5:$A$12,0))&amp;"개")</f>
        <v>-</v>
      </c>
    </row>
    <row r="209" customFormat="false" ht="15" hidden="false" customHeight="false" outlineLevel="0" collapsed="false">
      <c r="A209" s="19" t="str">
        <f aca="false">장비_기본!B30</f>
        <v>유성의 홀</v>
      </c>
      <c r="B209" s="19" t="str">
        <f aca="false">장비_기본!C30</f>
        <v>무기</v>
      </c>
      <c r="C209" s="19" t="str">
        <f aca="false">장비_기본!D30</f>
        <v>매지션</v>
      </c>
      <c r="D209" s="8" t="s">
        <v>47</v>
      </c>
      <c r="E209" s="19" t="str">
        <f aca="false">장비_기본!F30</f>
        <v>공격력</v>
      </c>
      <c r="F209" s="20" t="n">
        <f aca="false">장비_기본!G30*INDEX(등급!$C$5:$C$12,MATCH($D209,등급!$A$5:$A$12,0))</f>
        <v>11.22</v>
      </c>
      <c r="G209" s="19" t="str">
        <f aca="false">장비_기본!H30</f>
        <v>스킬 피해</v>
      </c>
      <c r="H209" s="21" t="n">
        <f aca="false">장비_기본!I30*INDEX(등급!$C$5:$C$12,MATCH($D209,등급!$A$5:$A$12,0))</f>
        <v>0.051</v>
      </c>
      <c r="I209" s="19" t="str">
        <f aca="false">장비_기본!J30</f>
        <v>② 유성우 범위 +[값]%</v>
      </c>
      <c r="J209" s="20" t="n">
        <f aca="false">ROUND(장비_기본!K30*INDEX(등급!$F$5:$F$12,MATCH($D209,등급!$A$5:$A$12,0)),1)</f>
        <v>12</v>
      </c>
      <c r="K209" s="19" t="n">
        <f aca="false">INDEX(등급!$D$5:$D$12,MATCH($D209,등급!$A$5:$A$12,0))</f>
        <v>3</v>
      </c>
      <c r="L209" s="19" t="str">
        <f aca="false">IF(INDEX(등급!$H$5:$H$12,MATCH($D209,등급!$A$5:$A$12,0))=0,"-",IF(INDEX(등급!$G$5:$G$12,MATCH($D209,등급!$A$5:$A$12,0))=INDEX(등급!$H$5:$H$12,MATCH($D209,등급!$A$5:$A$12,0)),INDEX(등급!$G$5:$G$12,MATCH($D209,등급!$A$5:$A$12,0))&amp;"칸",INDEX(등급!$G$5:$G$12,MATCH($D209,등급!$A$5:$A$12,0))&amp;"~"&amp;INDEX(등급!$H$5:$H$12,MATCH($D209,등급!$A$5:$A$12,0))&amp;"칸"))</f>
        <v>-</v>
      </c>
      <c r="M209" s="19" t="str">
        <f aca="false">IF(INDEX(등급!$J$5:$J$12,MATCH($D209,등급!$A$5:$A$12,0))=0,"-",IF(INDEX(등급!$I$5:$I$12,MATCH($D209,등급!$A$5:$A$12,0))=INDEX(등급!$J$5:$J$12,MATCH($D209,등급!$A$5:$A$12,0)),INDEX(등급!$I$5:$I$12,MATCH($D209,등급!$A$5:$A$12,0))&amp;"개",INDEX(등급!$I$5:$I$12,MATCH($D209,등급!$A$5:$A$12,0))&amp;"~"&amp;INDEX(등급!$J$5:$J$12,MATCH($D209,등급!$A$5:$A$12,0))&amp;"개"))</f>
        <v>-</v>
      </c>
      <c r="N209" s="19" t="str">
        <f aca="false">IF(INDEX(등급!$L$5:$L$12,MATCH($D209,등급!$A$5:$A$12,0))=0,"-",INDEX(등급!$K$5:$K$12,MATCH($D209,등급!$A$5:$A$12,0))&amp;"~"&amp;INDEX(등급!$L$5:$L$12,MATCH($D209,등급!$A$5:$A$12,0))&amp;"개")</f>
        <v>-</v>
      </c>
    </row>
    <row r="210" customFormat="false" ht="15" hidden="false" customHeight="false" outlineLevel="0" collapsed="false">
      <c r="A210" s="19" t="str">
        <f aca="false">장비_기본!B30</f>
        <v>유성의 홀</v>
      </c>
      <c r="B210" s="19" t="str">
        <f aca="false">장비_기본!C30</f>
        <v>무기</v>
      </c>
      <c r="C210" s="19" t="str">
        <f aca="false">장비_기본!D30</f>
        <v>매지션</v>
      </c>
      <c r="D210" s="8" t="s">
        <v>48</v>
      </c>
      <c r="E210" s="19" t="str">
        <f aca="false">장비_기본!F30</f>
        <v>공격력</v>
      </c>
      <c r="F210" s="20" t="n">
        <f aca="false">장비_기본!G30*INDEX(등급!$C$5:$C$12,MATCH($D210,등급!$A$5:$A$12,0))</f>
        <v>13.42</v>
      </c>
      <c r="G210" s="19" t="str">
        <f aca="false">장비_기본!H30</f>
        <v>스킬 피해</v>
      </c>
      <c r="H210" s="21" t="n">
        <f aca="false">장비_기본!I30*INDEX(등급!$C$5:$C$12,MATCH($D210,등급!$A$5:$A$12,0))</f>
        <v>0.061</v>
      </c>
      <c r="I210" s="19" t="str">
        <f aca="false">장비_기본!J30</f>
        <v>② 유성우 범위 +[값]%</v>
      </c>
      <c r="J210" s="20" t="n">
        <f aca="false">ROUND(장비_기본!K30*INDEX(등급!$F$5:$F$12,MATCH($D210,등급!$A$5:$A$12,0)),1)</f>
        <v>13.8</v>
      </c>
      <c r="K210" s="19" t="n">
        <f aca="false">INDEX(등급!$D$5:$D$12,MATCH($D210,등급!$A$5:$A$12,0))</f>
        <v>4</v>
      </c>
      <c r="L210" s="19" t="str">
        <f aca="false">IF(INDEX(등급!$H$5:$H$12,MATCH($D210,등급!$A$5:$A$12,0))=0,"-",IF(INDEX(등급!$G$5:$G$12,MATCH($D210,등급!$A$5:$A$12,0))=INDEX(등급!$H$5:$H$12,MATCH($D210,등급!$A$5:$A$12,0)),INDEX(등급!$G$5:$G$12,MATCH($D210,등급!$A$5:$A$12,0))&amp;"칸",INDEX(등급!$G$5:$G$12,MATCH($D210,등급!$A$5:$A$12,0))&amp;"~"&amp;INDEX(등급!$H$5:$H$12,MATCH($D210,등급!$A$5:$A$12,0))&amp;"칸"))</f>
        <v>-</v>
      </c>
      <c r="M210" s="19" t="str">
        <f aca="false">IF(INDEX(등급!$J$5:$J$12,MATCH($D210,등급!$A$5:$A$12,0))=0,"-",IF(INDEX(등급!$I$5:$I$12,MATCH($D210,등급!$A$5:$A$12,0))=INDEX(등급!$J$5:$J$12,MATCH($D210,등급!$A$5:$A$12,0)),INDEX(등급!$I$5:$I$12,MATCH($D210,등급!$A$5:$A$12,0))&amp;"개",INDEX(등급!$I$5:$I$12,MATCH($D210,등급!$A$5:$A$12,0))&amp;"~"&amp;INDEX(등급!$J$5:$J$12,MATCH($D210,등급!$A$5:$A$12,0))&amp;"개"))</f>
        <v>-</v>
      </c>
      <c r="N210" s="19" t="str">
        <f aca="false">IF(INDEX(등급!$L$5:$L$12,MATCH($D210,등급!$A$5:$A$12,0))=0,"-",INDEX(등급!$K$5:$K$12,MATCH($D210,등급!$A$5:$A$12,0))&amp;"~"&amp;INDEX(등급!$L$5:$L$12,MATCH($D210,등급!$A$5:$A$12,0))&amp;"개")</f>
        <v>-</v>
      </c>
    </row>
    <row r="211" customFormat="false" ht="15" hidden="false" customHeight="false" outlineLevel="0" collapsed="false">
      <c r="A211" s="19" t="str">
        <f aca="false">장비_기본!B30</f>
        <v>유성의 홀</v>
      </c>
      <c r="B211" s="19" t="str">
        <f aca="false">장비_기본!C30</f>
        <v>무기</v>
      </c>
      <c r="C211" s="19" t="str">
        <f aca="false">장비_기본!D30</f>
        <v>매지션</v>
      </c>
      <c r="D211" s="8" t="s">
        <v>49</v>
      </c>
      <c r="E211" s="19" t="str">
        <f aca="false">장비_기본!F30</f>
        <v>공격력</v>
      </c>
      <c r="F211" s="20" t="n">
        <f aca="false">장비_기본!G30*INDEX(등급!$C$5:$C$12,MATCH($D211,등급!$A$5:$A$12,0))</f>
        <v>14.08</v>
      </c>
      <c r="G211" s="19" t="str">
        <f aca="false">장비_기본!H30</f>
        <v>스킬 피해</v>
      </c>
      <c r="H211" s="21" t="n">
        <f aca="false">장비_기본!I30*INDEX(등급!$C$5:$C$12,MATCH($D211,등급!$A$5:$A$12,0))</f>
        <v>0.064</v>
      </c>
      <c r="I211" s="19" t="str">
        <f aca="false">장비_기본!J30</f>
        <v>② 유성우 범위 +[값]%</v>
      </c>
      <c r="J211" s="20" t="n">
        <f aca="false">ROUND(장비_기본!K30*INDEX(등급!$F$5:$F$12,MATCH($D211,등급!$A$5:$A$12,0)),1)</f>
        <v>15.9</v>
      </c>
      <c r="K211" s="19" t="n">
        <f aca="false">INDEX(등급!$D$5:$D$12,MATCH($D211,등급!$A$5:$A$12,0))</f>
        <v>4</v>
      </c>
      <c r="L211" s="19" t="str">
        <f aca="false">IF(INDEX(등급!$H$5:$H$12,MATCH($D211,등급!$A$5:$A$12,0))=0,"-",IF(INDEX(등급!$G$5:$G$12,MATCH($D211,등급!$A$5:$A$12,0))=INDEX(등급!$H$5:$H$12,MATCH($D211,등급!$A$5:$A$12,0)),INDEX(등급!$G$5:$G$12,MATCH($D211,등급!$A$5:$A$12,0))&amp;"칸",INDEX(등급!$G$5:$G$12,MATCH($D211,등급!$A$5:$A$12,0))&amp;"~"&amp;INDEX(등급!$H$5:$H$12,MATCH($D211,등급!$A$5:$A$12,0))&amp;"칸"))</f>
        <v>1칸</v>
      </c>
      <c r="M211" s="19" t="str">
        <f aca="false">IF(INDEX(등급!$J$5:$J$12,MATCH($D211,등급!$A$5:$A$12,0))=0,"-",IF(INDEX(등급!$I$5:$I$12,MATCH($D211,등급!$A$5:$A$12,0))=INDEX(등급!$J$5:$J$12,MATCH($D211,등급!$A$5:$A$12,0)),INDEX(등급!$I$5:$I$12,MATCH($D211,등급!$A$5:$A$12,0))&amp;"개",INDEX(등급!$I$5:$I$12,MATCH($D211,등급!$A$5:$A$12,0))&amp;"~"&amp;INDEX(등급!$J$5:$J$12,MATCH($D211,등급!$A$5:$A$12,0))&amp;"개"))</f>
        <v>0~1개</v>
      </c>
      <c r="N211" s="19" t="str">
        <f aca="false">IF(INDEX(등급!$L$5:$L$12,MATCH($D211,등급!$A$5:$A$12,0))=0,"-",INDEX(등급!$K$5:$K$12,MATCH($D211,등급!$A$5:$A$12,0))&amp;"~"&amp;INDEX(등급!$L$5:$L$12,MATCH($D211,등급!$A$5:$A$12,0))&amp;"개")</f>
        <v>0~1개</v>
      </c>
    </row>
    <row r="212" customFormat="false" ht="15" hidden="false" customHeight="false" outlineLevel="0" collapsed="false">
      <c r="A212" s="19" t="str">
        <f aca="false">장비_기본!B30</f>
        <v>유성의 홀</v>
      </c>
      <c r="B212" s="19" t="str">
        <f aca="false">장비_기본!C30</f>
        <v>무기</v>
      </c>
      <c r="C212" s="19" t="str">
        <f aca="false">장비_기본!D30</f>
        <v>매지션</v>
      </c>
      <c r="D212" s="8" t="s">
        <v>51</v>
      </c>
      <c r="E212" s="19" t="str">
        <f aca="false">장비_기본!F30</f>
        <v>공격력</v>
      </c>
      <c r="F212" s="20" t="n">
        <f aca="false">장비_기본!G30*INDEX(등급!$C$5:$C$12,MATCH($D212,등급!$A$5:$A$12,0))</f>
        <v>14.52</v>
      </c>
      <c r="G212" s="19" t="str">
        <f aca="false">장비_기본!H30</f>
        <v>스킬 피해</v>
      </c>
      <c r="H212" s="21" t="n">
        <f aca="false">장비_기본!I30*INDEX(등급!$C$5:$C$12,MATCH($D212,등급!$A$5:$A$12,0))</f>
        <v>0.066</v>
      </c>
      <c r="I212" s="19" t="str">
        <f aca="false">장비_기본!J30</f>
        <v>② 유성우 범위 +[값]%</v>
      </c>
      <c r="J212" s="20" t="n">
        <f aca="false">ROUND(장비_기본!K30*INDEX(등급!$F$5:$F$12,MATCH($D212,등급!$A$5:$A$12,0)),1)</f>
        <v>18</v>
      </c>
      <c r="K212" s="19" t="n">
        <f aca="false">INDEX(등급!$D$5:$D$12,MATCH($D212,등급!$A$5:$A$12,0))</f>
        <v>4</v>
      </c>
      <c r="L212" s="19" t="str">
        <f aca="false">IF(INDEX(등급!$H$5:$H$12,MATCH($D212,등급!$A$5:$A$12,0))=0,"-",IF(INDEX(등급!$G$5:$G$12,MATCH($D212,등급!$A$5:$A$12,0))=INDEX(등급!$H$5:$H$12,MATCH($D212,등급!$A$5:$A$12,0)),INDEX(등급!$G$5:$G$12,MATCH($D212,등급!$A$5:$A$12,0))&amp;"칸",INDEX(등급!$G$5:$G$12,MATCH($D212,등급!$A$5:$A$12,0))&amp;"~"&amp;INDEX(등급!$H$5:$H$12,MATCH($D212,등급!$A$5:$A$12,0))&amp;"칸"))</f>
        <v>1~3칸</v>
      </c>
      <c r="M212" s="19" t="str">
        <f aca="false">IF(INDEX(등급!$J$5:$J$12,MATCH($D212,등급!$A$5:$A$12,0))=0,"-",IF(INDEX(등급!$I$5:$I$12,MATCH($D212,등급!$A$5:$A$12,0))=INDEX(등급!$J$5:$J$12,MATCH($D212,등급!$A$5:$A$12,0)),INDEX(등급!$I$5:$I$12,MATCH($D212,등급!$A$5:$A$12,0))&amp;"개",INDEX(등급!$I$5:$I$12,MATCH($D212,등급!$A$5:$A$12,0))&amp;"~"&amp;INDEX(등급!$J$5:$J$12,MATCH($D212,등급!$A$5:$A$12,0))&amp;"개"))</f>
        <v>1개</v>
      </c>
      <c r="N212" s="19" t="str">
        <f aca="false">IF(INDEX(등급!$L$5:$L$12,MATCH($D212,등급!$A$5:$A$12,0))=0,"-",INDEX(등급!$K$5:$K$12,MATCH($D212,등급!$A$5:$A$12,0))&amp;"~"&amp;INDEX(등급!$L$5:$L$12,MATCH($D212,등급!$A$5:$A$12,0))&amp;"개")</f>
        <v>0~2개</v>
      </c>
    </row>
    <row r="213" customFormat="false" ht="15" hidden="false" customHeight="false" outlineLevel="0" collapsed="false">
      <c r="A213" s="19" t="str">
        <f aca="false">장비_기본!B31</f>
        <v>금단의 마도서</v>
      </c>
      <c r="B213" s="19" t="str">
        <f aca="false">장비_기본!C31</f>
        <v>무기</v>
      </c>
      <c r="C213" s="19" t="str">
        <f aca="false">장비_기본!D31</f>
        <v>매지션</v>
      </c>
      <c r="D213" s="8" t="s">
        <v>43</v>
      </c>
      <c r="E213" s="19" t="str">
        <f aca="false">장비_기본!F31</f>
        <v>공격력</v>
      </c>
      <c r="F213" s="20" t="n">
        <f aca="false">장비_기본!G31*INDEX(등급!$C$5:$C$12,MATCH($D213,등급!$A$5:$A$12,0))</f>
        <v>4.4</v>
      </c>
      <c r="G213" s="19" t="str">
        <f aca="false">장비_기본!H31</f>
        <v>스킬 피해</v>
      </c>
      <c r="H213" s="21" t="n">
        <f aca="false">장비_기본!I31*INDEX(등급!$C$5:$C$12,MATCH($D213,등급!$A$5:$A$12,0))</f>
        <v>0.02</v>
      </c>
      <c r="I213" s="19" t="str">
        <f aca="false">장비_기본!J31</f>
        <v>③ 대마법이 그로기 적에게 위력 +[값]%</v>
      </c>
      <c r="J213" s="20" t="n">
        <f aca="false">ROUND(장비_기본!K31*INDEX(등급!$F$5:$F$12,MATCH($D213,등급!$A$5:$A$12,0)),1)</f>
        <v>12</v>
      </c>
      <c r="K213" s="19" t="n">
        <f aca="false">INDEX(등급!$D$5:$D$12,MATCH($D213,등급!$A$5:$A$12,0))</f>
        <v>0</v>
      </c>
      <c r="L213" s="19" t="str">
        <f aca="false">IF(INDEX(등급!$H$5:$H$12,MATCH($D213,등급!$A$5:$A$12,0))=0,"-",IF(INDEX(등급!$G$5:$G$12,MATCH($D213,등급!$A$5:$A$12,0))=INDEX(등급!$H$5:$H$12,MATCH($D213,등급!$A$5:$A$12,0)),INDEX(등급!$G$5:$G$12,MATCH($D213,등급!$A$5:$A$12,0))&amp;"칸",INDEX(등급!$G$5:$G$12,MATCH($D213,등급!$A$5:$A$12,0))&amp;"~"&amp;INDEX(등급!$H$5:$H$12,MATCH($D213,등급!$A$5:$A$12,0))&amp;"칸"))</f>
        <v>-</v>
      </c>
      <c r="M213" s="19" t="str">
        <f aca="false">IF(INDEX(등급!$J$5:$J$12,MATCH($D213,등급!$A$5:$A$12,0))=0,"-",IF(INDEX(등급!$I$5:$I$12,MATCH($D213,등급!$A$5:$A$12,0))=INDEX(등급!$J$5:$J$12,MATCH($D213,등급!$A$5:$A$12,0)),INDEX(등급!$I$5:$I$12,MATCH($D213,등급!$A$5:$A$12,0))&amp;"개",INDEX(등급!$I$5:$I$12,MATCH($D213,등급!$A$5:$A$12,0))&amp;"~"&amp;INDEX(등급!$J$5:$J$12,MATCH($D213,등급!$A$5:$A$12,0))&amp;"개"))</f>
        <v>-</v>
      </c>
      <c r="N213" s="19" t="str">
        <f aca="false">IF(INDEX(등급!$L$5:$L$12,MATCH($D213,등급!$A$5:$A$12,0))=0,"-",INDEX(등급!$K$5:$K$12,MATCH($D213,등급!$A$5:$A$12,0))&amp;"~"&amp;INDEX(등급!$L$5:$L$12,MATCH($D213,등급!$A$5:$A$12,0))&amp;"개")</f>
        <v>-</v>
      </c>
    </row>
    <row r="214" customFormat="false" ht="15" hidden="false" customHeight="false" outlineLevel="0" collapsed="false">
      <c r="A214" s="19" t="str">
        <f aca="false">장비_기본!B31</f>
        <v>금단의 마도서</v>
      </c>
      <c r="B214" s="19" t="str">
        <f aca="false">장비_기본!C31</f>
        <v>무기</v>
      </c>
      <c r="C214" s="19" t="str">
        <f aca="false">장비_기본!D31</f>
        <v>매지션</v>
      </c>
      <c r="D214" s="8" t="s">
        <v>44</v>
      </c>
      <c r="E214" s="19" t="str">
        <f aca="false">장비_기본!F31</f>
        <v>공격력</v>
      </c>
      <c r="F214" s="20" t="n">
        <f aca="false">장비_기본!G31*INDEX(등급!$C$5:$C$12,MATCH($D214,등급!$A$5:$A$12,0))</f>
        <v>6.38</v>
      </c>
      <c r="G214" s="19" t="str">
        <f aca="false">장비_기본!H31</f>
        <v>스킬 피해</v>
      </c>
      <c r="H214" s="21" t="n">
        <f aca="false">장비_기본!I31*INDEX(등급!$C$5:$C$12,MATCH($D214,등급!$A$5:$A$12,0))</f>
        <v>0.029</v>
      </c>
      <c r="I214" s="19" t="str">
        <f aca="false">장비_기본!J31</f>
        <v>③ 대마법이 그로기 적에게 위력 +[값]%</v>
      </c>
      <c r="J214" s="20" t="n">
        <f aca="false">ROUND(장비_기본!K31*INDEX(등급!$F$5:$F$12,MATCH($D214,등급!$A$5:$A$12,0)),1)</f>
        <v>16.2</v>
      </c>
      <c r="K214" s="19" t="n">
        <f aca="false">INDEX(등급!$D$5:$D$12,MATCH($D214,등급!$A$5:$A$12,0))</f>
        <v>0</v>
      </c>
      <c r="L214" s="19" t="str">
        <f aca="false">IF(INDEX(등급!$H$5:$H$12,MATCH($D214,등급!$A$5:$A$12,0))=0,"-",IF(INDEX(등급!$G$5:$G$12,MATCH($D214,등급!$A$5:$A$12,0))=INDEX(등급!$H$5:$H$12,MATCH($D214,등급!$A$5:$A$12,0)),INDEX(등급!$G$5:$G$12,MATCH($D214,등급!$A$5:$A$12,0))&amp;"칸",INDEX(등급!$G$5:$G$12,MATCH($D214,등급!$A$5:$A$12,0))&amp;"~"&amp;INDEX(등급!$H$5:$H$12,MATCH($D214,등급!$A$5:$A$12,0))&amp;"칸"))</f>
        <v>-</v>
      </c>
      <c r="M214" s="19" t="str">
        <f aca="false">IF(INDEX(등급!$J$5:$J$12,MATCH($D214,등급!$A$5:$A$12,0))=0,"-",IF(INDEX(등급!$I$5:$I$12,MATCH($D214,등급!$A$5:$A$12,0))=INDEX(등급!$J$5:$J$12,MATCH($D214,등급!$A$5:$A$12,0)),INDEX(등급!$I$5:$I$12,MATCH($D214,등급!$A$5:$A$12,0))&amp;"개",INDEX(등급!$I$5:$I$12,MATCH($D214,등급!$A$5:$A$12,0))&amp;"~"&amp;INDEX(등급!$J$5:$J$12,MATCH($D214,등급!$A$5:$A$12,0))&amp;"개"))</f>
        <v>-</v>
      </c>
      <c r="N214" s="19" t="str">
        <f aca="false">IF(INDEX(등급!$L$5:$L$12,MATCH($D214,등급!$A$5:$A$12,0))=0,"-",INDEX(등급!$K$5:$K$12,MATCH($D214,등급!$A$5:$A$12,0))&amp;"~"&amp;INDEX(등급!$L$5:$L$12,MATCH($D214,등급!$A$5:$A$12,0))&amp;"개")</f>
        <v>-</v>
      </c>
    </row>
    <row r="215" customFormat="false" ht="15" hidden="false" customHeight="false" outlineLevel="0" collapsed="false">
      <c r="A215" s="19" t="str">
        <f aca="false">장비_기본!B31</f>
        <v>금단의 마도서</v>
      </c>
      <c r="B215" s="19" t="str">
        <f aca="false">장비_기본!C31</f>
        <v>무기</v>
      </c>
      <c r="C215" s="19" t="str">
        <f aca="false">장비_기본!D31</f>
        <v>매지션</v>
      </c>
      <c r="D215" s="8" t="s">
        <v>45</v>
      </c>
      <c r="E215" s="19" t="str">
        <f aca="false">장비_기본!F31</f>
        <v>공격력</v>
      </c>
      <c r="F215" s="20" t="n">
        <f aca="false">장비_기본!G31*INDEX(등급!$C$5:$C$12,MATCH($D215,등급!$A$5:$A$12,0))</f>
        <v>7.48</v>
      </c>
      <c r="G215" s="19" t="str">
        <f aca="false">장비_기본!H31</f>
        <v>스킬 피해</v>
      </c>
      <c r="H215" s="21" t="n">
        <f aca="false">장비_기본!I31*INDEX(등급!$C$5:$C$12,MATCH($D215,등급!$A$5:$A$12,0))</f>
        <v>0.034</v>
      </c>
      <c r="I215" s="19" t="str">
        <f aca="false">장비_기본!J31</f>
        <v>③ 대마법이 그로기 적에게 위력 +[값]%</v>
      </c>
      <c r="J215" s="20" t="n">
        <f aca="false">ROUND(장비_기본!K31*INDEX(등급!$F$5:$F$12,MATCH($D215,등급!$A$5:$A$12,0)),1)</f>
        <v>18</v>
      </c>
      <c r="K215" s="19" t="n">
        <f aca="false">INDEX(등급!$D$5:$D$12,MATCH($D215,등급!$A$5:$A$12,0))</f>
        <v>1</v>
      </c>
      <c r="L215" s="19" t="str">
        <f aca="false">IF(INDEX(등급!$H$5:$H$12,MATCH($D215,등급!$A$5:$A$12,0))=0,"-",IF(INDEX(등급!$G$5:$G$12,MATCH($D215,등급!$A$5:$A$12,0))=INDEX(등급!$H$5:$H$12,MATCH($D215,등급!$A$5:$A$12,0)),INDEX(등급!$G$5:$G$12,MATCH($D215,등급!$A$5:$A$12,0))&amp;"칸",INDEX(등급!$G$5:$G$12,MATCH($D215,등급!$A$5:$A$12,0))&amp;"~"&amp;INDEX(등급!$H$5:$H$12,MATCH($D215,등급!$A$5:$A$12,0))&amp;"칸"))</f>
        <v>-</v>
      </c>
      <c r="M215" s="19" t="str">
        <f aca="false">IF(INDEX(등급!$J$5:$J$12,MATCH($D215,등급!$A$5:$A$12,0))=0,"-",IF(INDEX(등급!$I$5:$I$12,MATCH($D215,등급!$A$5:$A$12,0))=INDEX(등급!$J$5:$J$12,MATCH($D215,등급!$A$5:$A$12,0)),INDEX(등급!$I$5:$I$12,MATCH($D215,등급!$A$5:$A$12,0))&amp;"개",INDEX(등급!$I$5:$I$12,MATCH($D215,등급!$A$5:$A$12,0))&amp;"~"&amp;INDEX(등급!$J$5:$J$12,MATCH($D215,등급!$A$5:$A$12,0))&amp;"개"))</f>
        <v>-</v>
      </c>
      <c r="N215" s="19" t="str">
        <f aca="false">IF(INDEX(등급!$L$5:$L$12,MATCH($D215,등급!$A$5:$A$12,0))=0,"-",INDEX(등급!$K$5:$K$12,MATCH($D215,등급!$A$5:$A$12,0))&amp;"~"&amp;INDEX(등급!$L$5:$L$12,MATCH($D215,등급!$A$5:$A$12,0))&amp;"개")</f>
        <v>-</v>
      </c>
    </row>
    <row r="216" customFormat="false" ht="15" hidden="false" customHeight="false" outlineLevel="0" collapsed="false">
      <c r="A216" s="19" t="str">
        <f aca="false">장비_기본!B31</f>
        <v>금단의 마도서</v>
      </c>
      <c r="B216" s="19" t="str">
        <f aca="false">장비_기본!C31</f>
        <v>무기</v>
      </c>
      <c r="C216" s="19" t="str">
        <f aca="false">장비_기본!D31</f>
        <v>매지션</v>
      </c>
      <c r="D216" s="8" t="s">
        <v>46</v>
      </c>
      <c r="E216" s="19" t="str">
        <f aca="false">장비_기본!F31</f>
        <v>공격력</v>
      </c>
      <c r="F216" s="20" t="n">
        <f aca="false">장비_기본!G31*INDEX(등급!$C$5:$C$12,MATCH($D216,등급!$A$5:$A$12,0))</f>
        <v>9.24</v>
      </c>
      <c r="G216" s="19" t="str">
        <f aca="false">장비_기본!H31</f>
        <v>스킬 피해</v>
      </c>
      <c r="H216" s="21" t="n">
        <f aca="false">장비_기본!I31*INDEX(등급!$C$5:$C$12,MATCH($D216,등급!$A$5:$A$12,0))</f>
        <v>0.042</v>
      </c>
      <c r="I216" s="19" t="str">
        <f aca="false">장비_기본!J31</f>
        <v>③ 대마법이 그로기 적에게 위력 +[값]%</v>
      </c>
      <c r="J216" s="20" t="n">
        <f aca="false">ROUND(장비_기본!K31*INDEX(등급!$F$5:$F$12,MATCH($D216,등급!$A$5:$A$12,0)),1)</f>
        <v>21</v>
      </c>
      <c r="K216" s="19" t="n">
        <f aca="false">INDEX(등급!$D$5:$D$12,MATCH($D216,등급!$A$5:$A$12,0))</f>
        <v>2</v>
      </c>
      <c r="L216" s="19" t="str">
        <f aca="false">IF(INDEX(등급!$H$5:$H$12,MATCH($D216,등급!$A$5:$A$12,0))=0,"-",IF(INDEX(등급!$G$5:$G$12,MATCH($D216,등급!$A$5:$A$12,0))=INDEX(등급!$H$5:$H$12,MATCH($D216,등급!$A$5:$A$12,0)),INDEX(등급!$G$5:$G$12,MATCH($D216,등급!$A$5:$A$12,0))&amp;"칸",INDEX(등급!$G$5:$G$12,MATCH($D216,등급!$A$5:$A$12,0))&amp;"~"&amp;INDEX(등급!$H$5:$H$12,MATCH($D216,등급!$A$5:$A$12,0))&amp;"칸"))</f>
        <v>-</v>
      </c>
      <c r="M216" s="19" t="str">
        <f aca="false">IF(INDEX(등급!$J$5:$J$12,MATCH($D216,등급!$A$5:$A$12,0))=0,"-",IF(INDEX(등급!$I$5:$I$12,MATCH($D216,등급!$A$5:$A$12,0))=INDEX(등급!$J$5:$J$12,MATCH($D216,등급!$A$5:$A$12,0)),INDEX(등급!$I$5:$I$12,MATCH($D216,등급!$A$5:$A$12,0))&amp;"개",INDEX(등급!$I$5:$I$12,MATCH($D216,등급!$A$5:$A$12,0))&amp;"~"&amp;INDEX(등급!$J$5:$J$12,MATCH($D216,등급!$A$5:$A$12,0))&amp;"개"))</f>
        <v>-</v>
      </c>
      <c r="N216" s="19" t="str">
        <f aca="false">IF(INDEX(등급!$L$5:$L$12,MATCH($D216,등급!$A$5:$A$12,0))=0,"-",INDEX(등급!$K$5:$K$12,MATCH($D216,등급!$A$5:$A$12,0))&amp;"~"&amp;INDEX(등급!$L$5:$L$12,MATCH($D216,등급!$A$5:$A$12,0))&amp;"개")</f>
        <v>-</v>
      </c>
    </row>
    <row r="217" customFormat="false" ht="15" hidden="false" customHeight="false" outlineLevel="0" collapsed="false">
      <c r="A217" s="19" t="str">
        <f aca="false">장비_기본!B31</f>
        <v>금단의 마도서</v>
      </c>
      <c r="B217" s="19" t="str">
        <f aca="false">장비_기본!C31</f>
        <v>무기</v>
      </c>
      <c r="C217" s="19" t="str">
        <f aca="false">장비_기본!D31</f>
        <v>매지션</v>
      </c>
      <c r="D217" s="8" t="s">
        <v>47</v>
      </c>
      <c r="E217" s="19" t="str">
        <f aca="false">장비_기본!F31</f>
        <v>공격력</v>
      </c>
      <c r="F217" s="20" t="n">
        <f aca="false">장비_기본!G31*INDEX(등급!$C$5:$C$12,MATCH($D217,등급!$A$5:$A$12,0))</f>
        <v>11.22</v>
      </c>
      <c r="G217" s="19" t="str">
        <f aca="false">장비_기본!H31</f>
        <v>스킬 피해</v>
      </c>
      <c r="H217" s="21" t="n">
        <f aca="false">장비_기본!I31*INDEX(등급!$C$5:$C$12,MATCH($D217,등급!$A$5:$A$12,0))</f>
        <v>0.051</v>
      </c>
      <c r="I217" s="19" t="str">
        <f aca="false">장비_기본!J31</f>
        <v>③ 대마법이 그로기 적에게 위력 +[값]%</v>
      </c>
      <c r="J217" s="20" t="n">
        <f aca="false">ROUND(장비_기본!K31*INDEX(등급!$F$5:$F$12,MATCH($D217,등급!$A$5:$A$12,0)),1)</f>
        <v>24</v>
      </c>
      <c r="K217" s="19" t="n">
        <f aca="false">INDEX(등급!$D$5:$D$12,MATCH($D217,등급!$A$5:$A$12,0))</f>
        <v>3</v>
      </c>
      <c r="L217" s="19" t="str">
        <f aca="false">IF(INDEX(등급!$H$5:$H$12,MATCH($D217,등급!$A$5:$A$12,0))=0,"-",IF(INDEX(등급!$G$5:$G$12,MATCH($D217,등급!$A$5:$A$12,0))=INDEX(등급!$H$5:$H$12,MATCH($D217,등급!$A$5:$A$12,0)),INDEX(등급!$G$5:$G$12,MATCH($D217,등급!$A$5:$A$12,0))&amp;"칸",INDEX(등급!$G$5:$G$12,MATCH($D217,등급!$A$5:$A$12,0))&amp;"~"&amp;INDEX(등급!$H$5:$H$12,MATCH($D217,등급!$A$5:$A$12,0))&amp;"칸"))</f>
        <v>-</v>
      </c>
      <c r="M217" s="19" t="str">
        <f aca="false">IF(INDEX(등급!$J$5:$J$12,MATCH($D217,등급!$A$5:$A$12,0))=0,"-",IF(INDEX(등급!$I$5:$I$12,MATCH($D217,등급!$A$5:$A$12,0))=INDEX(등급!$J$5:$J$12,MATCH($D217,등급!$A$5:$A$12,0)),INDEX(등급!$I$5:$I$12,MATCH($D217,등급!$A$5:$A$12,0))&amp;"개",INDEX(등급!$I$5:$I$12,MATCH($D217,등급!$A$5:$A$12,0))&amp;"~"&amp;INDEX(등급!$J$5:$J$12,MATCH($D217,등급!$A$5:$A$12,0))&amp;"개"))</f>
        <v>-</v>
      </c>
      <c r="N217" s="19" t="str">
        <f aca="false">IF(INDEX(등급!$L$5:$L$12,MATCH($D217,등급!$A$5:$A$12,0))=0,"-",INDEX(등급!$K$5:$K$12,MATCH($D217,등급!$A$5:$A$12,0))&amp;"~"&amp;INDEX(등급!$L$5:$L$12,MATCH($D217,등급!$A$5:$A$12,0))&amp;"개")</f>
        <v>-</v>
      </c>
    </row>
    <row r="218" customFormat="false" ht="15" hidden="false" customHeight="false" outlineLevel="0" collapsed="false">
      <c r="A218" s="19" t="str">
        <f aca="false">장비_기본!B31</f>
        <v>금단의 마도서</v>
      </c>
      <c r="B218" s="19" t="str">
        <f aca="false">장비_기본!C31</f>
        <v>무기</v>
      </c>
      <c r="C218" s="19" t="str">
        <f aca="false">장비_기본!D31</f>
        <v>매지션</v>
      </c>
      <c r="D218" s="8" t="s">
        <v>48</v>
      </c>
      <c r="E218" s="19" t="str">
        <f aca="false">장비_기본!F31</f>
        <v>공격력</v>
      </c>
      <c r="F218" s="20" t="n">
        <f aca="false">장비_기본!G31*INDEX(등급!$C$5:$C$12,MATCH($D218,등급!$A$5:$A$12,0))</f>
        <v>13.42</v>
      </c>
      <c r="G218" s="19" t="str">
        <f aca="false">장비_기본!H31</f>
        <v>스킬 피해</v>
      </c>
      <c r="H218" s="21" t="n">
        <f aca="false">장비_기본!I31*INDEX(등급!$C$5:$C$12,MATCH($D218,등급!$A$5:$A$12,0))</f>
        <v>0.061</v>
      </c>
      <c r="I218" s="19" t="str">
        <f aca="false">장비_기본!J31</f>
        <v>③ 대마법이 그로기 적에게 위력 +[값]%</v>
      </c>
      <c r="J218" s="20" t="n">
        <f aca="false">ROUND(장비_기본!K31*INDEX(등급!$F$5:$F$12,MATCH($D218,등급!$A$5:$A$12,0)),1)</f>
        <v>27.6</v>
      </c>
      <c r="K218" s="19" t="n">
        <f aca="false">INDEX(등급!$D$5:$D$12,MATCH($D218,등급!$A$5:$A$12,0))</f>
        <v>4</v>
      </c>
      <c r="L218" s="19" t="str">
        <f aca="false">IF(INDEX(등급!$H$5:$H$12,MATCH($D218,등급!$A$5:$A$12,0))=0,"-",IF(INDEX(등급!$G$5:$G$12,MATCH($D218,등급!$A$5:$A$12,0))=INDEX(등급!$H$5:$H$12,MATCH($D218,등급!$A$5:$A$12,0)),INDEX(등급!$G$5:$G$12,MATCH($D218,등급!$A$5:$A$12,0))&amp;"칸",INDEX(등급!$G$5:$G$12,MATCH($D218,등급!$A$5:$A$12,0))&amp;"~"&amp;INDEX(등급!$H$5:$H$12,MATCH($D218,등급!$A$5:$A$12,0))&amp;"칸"))</f>
        <v>-</v>
      </c>
      <c r="M218" s="19" t="str">
        <f aca="false">IF(INDEX(등급!$J$5:$J$12,MATCH($D218,등급!$A$5:$A$12,0))=0,"-",IF(INDEX(등급!$I$5:$I$12,MATCH($D218,등급!$A$5:$A$12,0))=INDEX(등급!$J$5:$J$12,MATCH($D218,등급!$A$5:$A$12,0)),INDEX(등급!$I$5:$I$12,MATCH($D218,등급!$A$5:$A$12,0))&amp;"개",INDEX(등급!$I$5:$I$12,MATCH($D218,등급!$A$5:$A$12,0))&amp;"~"&amp;INDEX(등급!$J$5:$J$12,MATCH($D218,등급!$A$5:$A$12,0))&amp;"개"))</f>
        <v>-</v>
      </c>
      <c r="N218" s="19" t="str">
        <f aca="false">IF(INDEX(등급!$L$5:$L$12,MATCH($D218,등급!$A$5:$A$12,0))=0,"-",INDEX(등급!$K$5:$K$12,MATCH($D218,등급!$A$5:$A$12,0))&amp;"~"&amp;INDEX(등급!$L$5:$L$12,MATCH($D218,등급!$A$5:$A$12,0))&amp;"개")</f>
        <v>-</v>
      </c>
    </row>
    <row r="219" customFormat="false" ht="15" hidden="false" customHeight="false" outlineLevel="0" collapsed="false">
      <c r="A219" s="19" t="str">
        <f aca="false">장비_기본!B31</f>
        <v>금단의 마도서</v>
      </c>
      <c r="B219" s="19" t="str">
        <f aca="false">장비_기본!C31</f>
        <v>무기</v>
      </c>
      <c r="C219" s="19" t="str">
        <f aca="false">장비_기본!D31</f>
        <v>매지션</v>
      </c>
      <c r="D219" s="8" t="s">
        <v>49</v>
      </c>
      <c r="E219" s="19" t="str">
        <f aca="false">장비_기본!F31</f>
        <v>공격력</v>
      </c>
      <c r="F219" s="20" t="n">
        <f aca="false">장비_기본!G31*INDEX(등급!$C$5:$C$12,MATCH($D219,등급!$A$5:$A$12,0))</f>
        <v>14.08</v>
      </c>
      <c r="G219" s="19" t="str">
        <f aca="false">장비_기본!H31</f>
        <v>스킬 피해</v>
      </c>
      <c r="H219" s="21" t="n">
        <f aca="false">장비_기본!I31*INDEX(등급!$C$5:$C$12,MATCH($D219,등급!$A$5:$A$12,0))</f>
        <v>0.064</v>
      </c>
      <c r="I219" s="19" t="str">
        <f aca="false">장비_기본!J31</f>
        <v>③ 대마법이 그로기 적에게 위력 +[값]%</v>
      </c>
      <c r="J219" s="20" t="n">
        <f aca="false">ROUND(장비_기본!K31*INDEX(등급!$F$5:$F$12,MATCH($D219,등급!$A$5:$A$12,0)),1)</f>
        <v>31.8</v>
      </c>
      <c r="K219" s="19" t="n">
        <f aca="false">INDEX(등급!$D$5:$D$12,MATCH($D219,등급!$A$5:$A$12,0))</f>
        <v>4</v>
      </c>
      <c r="L219" s="19" t="str">
        <f aca="false">IF(INDEX(등급!$H$5:$H$12,MATCH($D219,등급!$A$5:$A$12,0))=0,"-",IF(INDEX(등급!$G$5:$G$12,MATCH($D219,등급!$A$5:$A$12,0))=INDEX(등급!$H$5:$H$12,MATCH($D219,등급!$A$5:$A$12,0)),INDEX(등급!$G$5:$G$12,MATCH($D219,등급!$A$5:$A$12,0))&amp;"칸",INDEX(등급!$G$5:$G$12,MATCH($D219,등급!$A$5:$A$12,0))&amp;"~"&amp;INDEX(등급!$H$5:$H$12,MATCH($D219,등급!$A$5:$A$12,0))&amp;"칸"))</f>
        <v>1칸</v>
      </c>
      <c r="M219" s="19" t="str">
        <f aca="false">IF(INDEX(등급!$J$5:$J$12,MATCH($D219,등급!$A$5:$A$12,0))=0,"-",IF(INDEX(등급!$I$5:$I$12,MATCH($D219,등급!$A$5:$A$12,0))=INDEX(등급!$J$5:$J$12,MATCH($D219,등급!$A$5:$A$12,0)),INDEX(등급!$I$5:$I$12,MATCH($D219,등급!$A$5:$A$12,0))&amp;"개",INDEX(등급!$I$5:$I$12,MATCH($D219,등급!$A$5:$A$12,0))&amp;"~"&amp;INDEX(등급!$J$5:$J$12,MATCH($D219,등급!$A$5:$A$12,0))&amp;"개"))</f>
        <v>0~1개</v>
      </c>
      <c r="N219" s="19" t="str">
        <f aca="false">IF(INDEX(등급!$L$5:$L$12,MATCH($D219,등급!$A$5:$A$12,0))=0,"-",INDEX(등급!$K$5:$K$12,MATCH($D219,등급!$A$5:$A$12,0))&amp;"~"&amp;INDEX(등급!$L$5:$L$12,MATCH($D219,등급!$A$5:$A$12,0))&amp;"개")</f>
        <v>0~1개</v>
      </c>
    </row>
    <row r="220" customFormat="false" ht="15" hidden="false" customHeight="false" outlineLevel="0" collapsed="false">
      <c r="A220" s="19" t="str">
        <f aca="false">장비_기본!B31</f>
        <v>금단의 마도서</v>
      </c>
      <c r="B220" s="19" t="str">
        <f aca="false">장비_기본!C31</f>
        <v>무기</v>
      </c>
      <c r="C220" s="19" t="str">
        <f aca="false">장비_기본!D31</f>
        <v>매지션</v>
      </c>
      <c r="D220" s="8" t="s">
        <v>51</v>
      </c>
      <c r="E220" s="19" t="str">
        <f aca="false">장비_기본!F31</f>
        <v>공격력</v>
      </c>
      <c r="F220" s="20" t="n">
        <f aca="false">장비_기본!G31*INDEX(등급!$C$5:$C$12,MATCH($D220,등급!$A$5:$A$12,0))</f>
        <v>14.52</v>
      </c>
      <c r="G220" s="19" t="str">
        <f aca="false">장비_기본!H31</f>
        <v>스킬 피해</v>
      </c>
      <c r="H220" s="21" t="n">
        <f aca="false">장비_기본!I31*INDEX(등급!$C$5:$C$12,MATCH($D220,등급!$A$5:$A$12,0))</f>
        <v>0.066</v>
      </c>
      <c r="I220" s="19" t="str">
        <f aca="false">장비_기본!J31</f>
        <v>③ 대마법이 그로기 적에게 위력 +[값]%</v>
      </c>
      <c r="J220" s="20" t="n">
        <f aca="false">ROUND(장비_기본!K31*INDEX(등급!$F$5:$F$12,MATCH($D220,등급!$A$5:$A$12,0)),1)</f>
        <v>36</v>
      </c>
      <c r="K220" s="19" t="n">
        <f aca="false">INDEX(등급!$D$5:$D$12,MATCH($D220,등급!$A$5:$A$12,0))</f>
        <v>4</v>
      </c>
      <c r="L220" s="19" t="str">
        <f aca="false">IF(INDEX(등급!$H$5:$H$12,MATCH($D220,등급!$A$5:$A$12,0))=0,"-",IF(INDEX(등급!$G$5:$G$12,MATCH($D220,등급!$A$5:$A$12,0))=INDEX(등급!$H$5:$H$12,MATCH($D220,등급!$A$5:$A$12,0)),INDEX(등급!$G$5:$G$12,MATCH($D220,등급!$A$5:$A$12,0))&amp;"칸",INDEX(등급!$G$5:$G$12,MATCH($D220,등급!$A$5:$A$12,0))&amp;"~"&amp;INDEX(등급!$H$5:$H$12,MATCH($D220,등급!$A$5:$A$12,0))&amp;"칸"))</f>
        <v>1~3칸</v>
      </c>
      <c r="M220" s="19" t="str">
        <f aca="false">IF(INDEX(등급!$J$5:$J$12,MATCH($D220,등급!$A$5:$A$12,0))=0,"-",IF(INDEX(등급!$I$5:$I$12,MATCH($D220,등급!$A$5:$A$12,0))=INDEX(등급!$J$5:$J$12,MATCH($D220,등급!$A$5:$A$12,0)),INDEX(등급!$I$5:$I$12,MATCH($D220,등급!$A$5:$A$12,0))&amp;"개",INDEX(등급!$I$5:$I$12,MATCH($D220,등급!$A$5:$A$12,0))&amp;"~"&amp;INDEX(등급!$J$5:$J$12,MATCH($D220,등급!$A$5:$A$12,0))&amp;"개"))</f>
        <v>1개</v>
      </c>
      <c r="N220" s="19" t="str">
        <f aca="false">IF(INDEX(등급!$L$5:$L$12,MATCH($D220,등급!$A$5:$A$12,0))=0,"-",INDEX(등급!$K$5:$K$12,MATCH($D220,등급!$A$5:$A$12,0))&amp;"~"&amp;INDEX(등급!$L$5:$L$12,MATCH($D220,등급!$A$5:$A$12,0))&amp;"개")</f>
        <v>0~2개</v>
      </c>
    </row>
    <row r="221" customFormat="false" ht="15" hidden="false" customHeight="false" outlineLevel="0" collapsed="false">
      <c r="A221" s="19" t="str">
        <f aca="false">장비_기본!B32</f>
        <v>현자의 로브</v>
      </c>
      <c r="B221" s="19" t="str">
        <f aca="false">장비_기본!C32</f>
        <v>갑옷</v>
      </c>
      <c r="C221" s="19" t="str">
        <f aca="false">장비_기본!D32</f>
        <v>매지션</v>
      </c>
      <c r="D221" s="8" t="s">
        <v>43</v>
      </c>
      <c r="E221" s="19" t="str">
        <f aca="false">장비_기본!F32</f>
        <v>체력</v>
      </c>
      <c r="F221" s="20" t="n">
        <f aca="false">장비_기본!G32*INDEX(등급!$C$5:$C$12,MATCH($D221,등급!$A$5:$A$12,0))</f>
        <v>24</v>
      </c>
      <c r="G221" s="19" t="str">
        <f aca="false">장비_기본!H32</f>
        <v>쿨타임 감소</v>
      </c>
      <c r="H221" s="21" t="n">
        <f aca="false">장비_기본!I32*INDEX(등급!$C$5:$C$12,MATCH($D221,등급!$A$5:$A$12,0))</f>
        <v>0.01</v>
      </c>
      <c r="I221" s="19" t="str">
        <f aca="false">장비_기본!J32</f>
        <v>쿨타임 감소 +[값]%</v>
      </c>
      <c r="J221" s="20" t="n">
        <f aca="false">ROUND(장비_기본!K32*INDEX(등급!$F$5:$F$12,MATCH($D221,등급!$A$5:$A$12,0)),1)</f>
        <v>1.5</v>
      </c>
      <c r="K221" s="19" t="n">
        <f aca="false">INDEX(등급!$D$5:$D$12,MATCH($D221,등급!$A$5:$A$12,0))</f>
        <v>0</v>
      </c>
      <c r="L221" s="19" t="str">
        <f aca="false">IF(INDEX(등급!$H$5:$H$12,MATCH($D221,등급!$A$5:$A$12,0))=0,"-",IF(INDEX(등급!$G$5:$G$12,MATCH($D221,등급!$A$5:$A$12,0))=INDEX(등급!$H$5:$H$12,MATCH($D221,등급!$A$5:$A$12,0)),INDEX(등급!$G$5:$G$12,MATCH($D221,등급!$A$5:$A$12,0))&amp;"칸",INDEX(등급!$G$5:$G$12,MATCH($D221,등급!$A$5:$A$12,0))&amp;"~"&amp;INDEX(등급!$H$5:$H$12,MATCH($D221,등급!$A$5:$A$12,0))&amp;"칸"))</f>
        <v>-</v>
      </c>
      <c r="M221" s="19" t="str">
        <f aca="false">IF(INDEX(등급!$J$5:$J$12,MATCH($D221,등급!$A$5:$A$12,0))=0,"-",IF(INDEX(등급!$I$5:$I$12,MATCH($D221,등급!$A$5:$A$12,0))=INDEX(등급!$J$5:$J$12,MATCH($D221,등급!$A$5:$A$12,0)),INDEX(등급!$I$5:$I$12,MATCH($D221,등급!$A$5:$A$12,0))&amp;"개",INDEX(등급!$I$5:$I$12,MATCH($D221,등급!$A$5:$A$12,0))&amp;"~"&amp;INDEX(등급!$J$5:$J$12,MATCH($D221,등급!$A$5:$A$12,0))&amp;"개"))</f>
        <v>-</v>
      </c>
      <c r="N221" s="19" t="str">
        <f aca="false">IF(INDEX(등급!$L$5:$L$12,MATCH($D221,등급!$A$5:$A$12,0))=0,"-",INDEX(등급!$K$5:$K$12,MATCH($D221,등급!$A$5:$A$12,0))&amp;"~"&amp;INDEX(등급!$L$5:$L$12,MATCH($D221,등급!$A$5:$A$12,0))&amp;"개")</f>
        <v>-</v>
      </c>
    </row>
    <row r="222" customFormat="false" ht="15" hidden="false" customHeight="false" outlineLevel="0" collapsed="false">
      <c r="A222" s="19" t="str">
        <f aca="false">장비_기본!B32</f>
        <v>현자의 로브</v>
      </c>
      <c r="B222" s="19" t="str">
        <f aca="false">장비_기본!C32</f>
        <v>갑옷</v>
      </c>
      <c r="C222" s="19" t="str">
        <f aca="false">장비_기본!D32</f>
        <v>매지션</v>
      </c>
      <c r="D222" s="8" t="s">
        <v>44</v>
      </c>
      <c r="E222" s="19" t="str">
        <f aca="false">장비_기본!F32</f>
        <v>체력</v>
      </c>
      <c r="F222" s="20" t="n">
        <f aca="false">장비_기본!G32*INDEX(등급!$C$5:$C$12,MATCH($D222,등급!$A$5:$A$12,0))</f>
        <v>34.8</v>
      </c>
      <c r="G222" s="19" t="str">
        <f aca="false">장비_기본!H32</f>
        <v>쿨타임 감소</v>
      </c>
      <c r="H222" s="21" t="n">
        <f aca="false">장비_기본!I32*INDEX(등급!$C$5:$C$12,MATCH($D222,등급!$A$5:$A$12,0))</f>
        <v>0.0145</v>
      </c>
      <c r="I222" s="19" t="str">
        <f aca="false">장비_기본!J32</f>
        <v>쿨타임 감소 +[값]%</v>
      </c>
      <c r="J222" s="20" t="n">
        <f aca="false">ROUND(장비_기본!K32*INDEX(등급!$F$5:$F$12,MATCH($D222,등급!$A$5:$A$12,0)),1)</f>
        <v>2</v>
      </c>
      <c r="K222" s="19" t="n">
        <f aca="false">INDEX(등급!$D$5:$D$12,MATCH($D222,등급!$A$5:$A$12,0))</f>
        <v>0</v>
      </c>
      <c r="L222" s="19" t="str">
        <f aca="false">IF(INDEX(등급!$H$5:$H$12,MATCH($D222,등급!$A$5:$A$12,0))=0,"-",IF(INDEX(등급!$G$5:$G$12,MATCH($D222,등급!$A$5:$A$12,0))=INDEX(등급!$H$5:$H$12,MATCH($D222,등급!$A$5:$A$12,0)),INDEX(등급!$G$5:$G$12,MATCH($D222,등급!$A$5:$A$12,0))&amp;"칸",INDEX(등급!$G$5:$G$12,MATCH($D222,등급!$A$5:$A$12,0))&amp;"~"&amp;INDEX(등급!$H$5:$H$12,MATCH($D222,등급!$A$5:$A$12,0))&amp;"칸"))</f>
        <v>-</v>
      </c>
      <c r="M222" s="19" t="str">
        <f aca="false">IF(INDEX(등급!$J$5:$J$12,MATCH($D222,등급!$A$5:$A$12,0))=0,"-",IF(INDEX(등급!$I$5:$I$12,MATCH($D222,등급!$A$5:$A$12,0))=INDEX(등급!$J$5:$J$12,MATCH($D222,등급!$A$5:$A$12,0)),INDEX(등급!$I$5:$I$12,MATCH($D222,등급!$A$5:$A$12,0))&amp;"개",INDEX(등급!$I$5:$I$12,MATCH($D222,등급!$A$5:$A$12,0))&amp;"~"&amp;INDEX(등급!$J$5:$J$12,MATCH($D222,등급!$A$5:$A$12,0))&amp;"개"))</f>
        <v>-</v>
      </c>
      <c r="N222" s="19" t="str">
        <f aca="false">IF(INDEX(등급!$L$5:$L$12,MATCH($D222,등급!$A$5:$A$12,0))=0,"-",INDEX(등급!$K$5:$K$12,MATCH($D222,등급!$A$5:$A$12,0))&amp;"~"&amp;INDEX(등급!$L$5:$L$12,MATCH($D222,등급!$A$5:$A$12,0))&amp;"개")</f>
        <v>-</v>
      </c>
    </row>
    <row r="223" customFormat="false" ht="15" hidden="false" customHeight="false" outlineLevel="0" collapsed="false">
      <c r="A223" s="19" t="str">
        <f aca="false">장비_기본!B32</f>
        <v>현자의 로브</v>
      </c>
      <c r="B223" s="19" t="str">
        <f aca="false">장비_기본!C32</f>
        <v>갑옷</v>
      </c>
      <c r="C223" s="19" t="str">
        <f aca="false">장비_기본!D32</f>
        <v>매지션</v>
      </c>
      <c r="D223" s="8" t="s">
        <v>45</v>
      </c>
      <c r="E223" s="19" t="str">
        <f aca="false">장비_기본!F32</f>
        <v>체력</v>
      </c>
      <c r="F223" s="20" t="n">
        <f aca="false">장비_기본!G32*INDEX(등급!$C$5:$C$12,MATCH($D223,등급!$A$5:$A$12,0))</f>
        <v>40.8</v>
      </c>
      <c r="G223" s="19" t="str">
        <f aca="false">장비_기본!H32</f>
        <v>쿨타임 감소</v>
      </c>
      <c r="H223" s="21" t="n">
        <f aca="false">장비_기본!I32*INDEX(등급!$C$5:$C$12,MATCH($D223,등급!$A$5:$A$12,0))</f>
        <v>0.017</v>
      </c>
      <c r="I223" s="19" t="str">
        <f aca="false">장비_기본!J32</f>
        <v>쿨타임 감소 +[값]%</v>
      </c>
      <c r="J223" s="20" t="n">
        <f aca="false">ROUND(장비_기본!K32*INDEX(등급!$F$5:$F$12,MATCH($D223,등급!$A$5:$A$12,0)),1)</f>
        <v>2.3</v>
      </c>
      <c r="K223" s="19" t="n">
        <f aca="false">INDEX(등급!$D$5:$D$12,MATCH($D223,등급!$A$5:$A$12,0))</f>
        <v>1</v>
      </c>
      <c r="L223" s="19" t="str">
        <f aca="false">IF(INDEX(등급!$H$5:$H$12,MATCH($D223,등급!$A$5:$A$12,0))=0,"-",IF(INDEX(등급!$G$5:$G$12,MATCH($D223,등급!$A$5:$A$12,0))=INDEX(등급!$H$5:$H$12,MATCH($D223,등급!$A$5:$A$12,0)),INDEX(등급!$G$5:$G$12,MATCH($D223,등급!$A$5:$A$12,0))&amp;"칸",INDEX(등급!$G$5:$G$12,MATCH($D223,등급!$A$5:$A$12,0))&amp;"~"&amp;INDEX(등급!$H$5:$H$12,MATCH($D223,등급!$A$5:$A$12,0))&amp;"칸"))</f>
        <v>-</v>
      </c>
      <c r="M223" s="19" t="str">
        <f aca="false">IF(INDEX(등급!$J$5:$J$12,MATCH($D223,등급!$A$5:$A$12,0))=0,"-",IF(INDEX(등급!$I$5:$I$12,MATCH($D223,등급!$A$5:$A$12,0))=INDEX(등급!$J$5:$J$12,MATCH($D223,등급!$A$5:$A$12,0)),INDEX(등급!$I$5:$I$12,MATCH($D223,등급!$A$5:$A$12,0))&amp;"개",INDEX(등급!$I$5:$I$12,MATCH($D223,등급!$A$5:$A$12,0))&amp;"~"&amp;INDEX(등급!$J$5:$J$12,MATCH($D223,등급!$A$5:$A$12,0))&amp;"개"))</f>
        <v>-</v>
      </c>
      <c r="N223" s="19" t="str">
        <f aca="false">IF(INDEX(등급!$L$5:$L$12,MATCH($D223,등급!$A$5:$A$12,0))=0,"-",INDEX(등급!$K$5:$K$12,MATCH($D223,등급!$A$5:$A$12,0))&amp;"~"&amp;INDEX(등급!$L$5:$L$12,MATCH($D223,등급!$A$5:$A$12,0))&amp;"개")</f>
        <v>-</v>
      </c>
    </row>
    <row r="224" customFormat="false" ht="15" hidden="false" customHeight="false" outlineLevel="0" collapsed="false">
      <c r="A224" s="19" t="str">
        <f aca="false">장비_기본!B32</f>
        <v>현자의 로브</v>
      </c>
      <c r="B224" s="19" t="str">
        <f aca="false">장비_기본!C32</f>
        <v>갑옷</v>
      </c>
      <c r="C224" s="19" t="str">
        <f aca="false">장비_기본!D32</f>
        <v>매지션</v>
      </c>
      <c r="D224" s="8" t="s">
        <v>46</v>
      </c>
      <c r="E224" s="19" t="str">
        <f aca="false">장비_기본!F32</f>
        <v>체력</v>
      </c>
      <c r="F224" s="20" t="n">
        <f aca="false">장비_기본!G32*INDEX(등급!$C$5:$C$12,MATCH($D224,등급!$A$5:$A$12,0))</f>
        <v>50.4</v>
      </c>
      <c r="G224" s="19" t="str">
        <f aca="false">장비_기본!H32</f>
        <v>쿨타임 감소</v>
      </c>
      <c r="H224" s="21" t="n">
        <f aca="false">장비_기본!I32*INDEX(등급!$C$5:$C$12,MATCH($D224,등급!$A$5:$A$12,0))</f>
        <v>0.021</v>
      </c>
      <c r="I224" s="19" t="str">
        <f aca="false">장비_기본!J32</f>
        <v>쿨타임 감소 +[값]%</v>
      </c>
      <c r="J224" s="20" t="n">
        <f aca="false">ROUND(장비_기본!K32*INDEX(등급!$F$5:$F$12,MATCH($D224,등급!$A$5:$A$12,0)),1)</f>
        <v>2.6</v>
      </c>
      <c r="K224" s="19" t="n">
        <f aca="false">INDEX(등급!$D$5:$D$12,MATCH($D224,등급!$A$5:$A$12,0))</f>
        <v>2</v>
      </c>
      <c r="L224" s="19" t="str">
        <f aca="false">IF(INDEX(등급!$H$5:$H$12,MATCH($D224,등급!$A$5:$A$12,0))=0,"-",IF(INDEX(등급!$G$5:$G$12,MATCH($D224,등급!$A$5:$A$12,0))=INDEX(등급!$H$5:$H$12,MATCH($D224,등급!$A$5:$A$12,0)),INDEX(등급!$G$5:$G$12,MATCH($D224,등급!$A$5:$A$12,0))&amp;"칸",INDEX(등급!$G$5:$G$12,MATCH($D224,등급!$A$5:$A$12,0))&amp;"~"&amp;INDEX(등급!$H$5:$H$12,MATCH($D224,등급!$A$5:$A$12,0))&amp;"칸"))</f>
        <v>-</v>
      </c>
      <c r="M224" s="19" t="str">
        <f aca="false">IF(INDEX(등급!$J$5:$J$12,MATCH($D224,등급!$A$5:$A$12,0))=0,"-",IF(INDEX(등급!$I$5:$I$12,MATCH($D224,등급!$A$5:$A$12,0))=INDEX(등급!$J$5:$J$12,MATCH($D224,등급!$A$5:$A$12,0)),INDEX(등급!$I$5:$I$12,MATCH($D224,등급!$A$5:$A$12,0))&amp;"개",INDEX(등급!$I$5:$I$12,MATCH($D224,등급!$A$5:$A$12,0))&amp;"~"&amp;INDEX(등급!$J$5:$J$12,MATCH($D224,등급!$A$5:$A$12,0))&amp;"개"))</f>
        <v>-</v>
      </c>
      <c r="N224" s="19" t="str">
        <f aca="false">IF(INDEX(등급!$L$5:$L$12,MATCH($D224,등급!$A$5:$A$12,0))=0,"-",INDEX(등급!$K$5:$K$12,MATCH($D224,등급!$A$5:$A$12,0))&amp;"~"&amp;INDEX(등급!$L$5:$L$12,MATCH($D224,등급!$A$5:$A$12,0))&amp;"개")</f>
        <v>-</v>
      </c>
    </row>
    <row r="225" customFormat="false" ht="15" hidden="false" customHeight="false" outlineLevel="0" collapsed="false">
      <c r="A225" s="19" t="str">
        <f aca="false">장비_기본!B32</f>
        <v>현자의 로브</v>
      </c>
      <c r="B225" s="19" t="str">
        <f aca="false">장비_기본!C32</f>
        <v>갑옷</v>
      </c>
      <c r="C225" s="19" t="str">
        <f aca="false">장비_기본!D32</f>
        <v>매지션</v>
      </c>
      <c r="D225" s="8" t="s">
        <v>47</v>
      </c>
      <c r="E225" s="19" t="str">
        <f aca="false">장비_기본!F32</f>
        <v>체력</v>
      </c>
      <c r="F225" s="20" t="n">
        <f aca="false">장비_기본!G32*INDEX(등급!$C$5:$C$12,MATCH($D225,등급!$A$5:$A$12,0))</f>
        <v>61.2</v>
      </c>
      <c r="G225" s="19" t="str">
        <f aca="false">장비_기본!H32</f>
        <v>쿨타임 감소</v>
      </c>
      <c r="H225" s="21" t="n">
        <f aca="false">장비_기본!I32*INDEX(등급!$C$5:$C$12,MATCH($D225,등급!$A$5:$A$12,0))</f>
        <v>0.0255</v>
      </c>
      <c r="I225" s="19" t="str">
        <f aca="false">장비_기본!J32</f>
        <v>쿨타임 감소 +[값]%</v>
      </c>
      <c r="J225" s="20" t="n">
        <f aca="false">ROUND(장비_기본!K32*INDEX(등급!$F$5:$F$12,MATCH($D225,등급!$A$5:$A$12,0)),1)</f>
        <v>3</v>
      </c>
      <c r="K225" s="19" t="n">
        <f aca="false">INDEX(등급!$D$5:$D$12,MATCH($D225,등급!$A$5:$A$12,0))</f>
        <v>3</v>
      </c>
      <c r="L225" s="19" t="str">
        <f aca="false">IF(INDEX(등급!$H$5:$H$12,MATCH($D225,등급!$A$5:$A$12,0))=0,"-",IF(INDEX(등급!$G$5:$G$12,MATCH($D225,등급!$A$5:$A$12,0))=INDEX(등급!$H$5:$H$12,MATCH($D225,등급!$A$5:$A$12,0)),INDEX(등급!$G$5:$G$12,MATCH($D225,등급!$A$5:$A$12,0))&amp;"칸",INDEX(등급!$G$5:$G$12,MATCH($D225,등급!$A$5:$A$12,0))&amp;"~"&amp;INDEX(등급!$H$5:$H$12,MATCH($D225,등급!$A$5:$A$12,0))&amp;"칸"))</f>
        <v>-</v>
      </c>
      <c r="M225" s="19" t="str">
        <f aca="false">IF(INDEX(등급!$J$5:$J$12,MATCH($D225,등급!$A$5:$A$12,0))=0,"-",IF(INDEX(등급!$I$5:$I$12,MATCH($D225,등급!$A$5:$A$12,0))=INDEX(등급!$J$5:$J$12,MATCH($D225,등급!$A$5:$A$12,0)),INDEX(등급!$I$5:$I$12,MATCH($D225,등급!$A$5:$A$12,0))&amp;"개",INDEX(등급!$I$5:$I$12,MATCH($D225,등급!$A$5:$A$12,0))&amp;"~"&amp;INDEX(등급!$J$5:$J$12,MATCH($D225,등급!$A$5:$A$12,0))&amp;"개"))</f>
        <v>-</v>
      </c>
      <c r="N225" s="19" t="str">
        <f aca="false">IF(INDEX(등급!$L$5:$L$12,MATCH($D225,등급!$A$5:$A$12,0))=0,"-",INDEX(등급!$K$5:$K$12,MATCH($D225,등급!$A$5:$A$12,0))&amp;"~"&amp;INDEX(등급!$L$5:$L$12,MATCH($D225,등급!$A$5:$A$12,0))&amp;"개")</f>
        <v>-</v>
      </c>
    </row>
    <row r="226" customFormat="false" ht="15" hidden="false" customHeight="false" outlineLevel="0" collapsed="false">
      <c r="A226" s="19" t="str">
        <f aca="false">장비_기본!B32</f>
        <v>현자의 로브</v>
      </c>
      <c r="B226" s="19" t="str">
        <f aca="false">장비_기본!C32</f>
        <v>갑옷</v>
      </c>
      <c r="C226" s="19" t="str">
        <f aca="false">장비_기본!D32</f>
        <v>매지션</v>
      </c>
      <c r="D226" s="8" t="s">
        <v>48</v>
      </c>
      <c r="E226" s="19" t="str">
        <f aca="false">장비_기본!F32</f>
        <v>체력</v>
      </c>
      <c r="F226" s="20" t="n">
        <f aca="false">장비_기본!G32*INDEX(등급!$C$5:$C$12,MATCH($D226,등급!$A$5:$A$12,0))</f>
        <v>73.2</v>
      </c>
      <c r="G226" s="19" t="str">
        <f aca="false">장비_기본!H32</f>
        <v>쿨타임 감소</v>
      </c>
      <c r="H226" s="21" t="n">
        <f aca="false">장비_기본!I32*INDEX(등급!$C$5:$C$12,MATCH($D226,등급!$A$5:$A$12,0))</f>
        <v>0.0305</v>
      </c>
      <c r="I226" s="19" t="str">
        <f aca="false">장비_기본!J32</f>
        <v>쿨타임 감소 +[값]%</v>
      </c>
      <c r="J226" s="20" t="n">
        <f aca="false">ROUND(장비_기본!K32*INDEX(등급!$F$5:$F$12,MATCH($D226,등급!$A$5:$A$12,0)),1)</f>
        <v>3.5</v>
      </c>
      <c r="K226" s="19" t="n">
        <f aca="false">INDEX(등급!$D$5:$D$12,MATCH($D226,등급!$A$5:$A$12,0))</f>
        <v>4</v>
      </c>
      <c r="L226" s="19" t="str">
        <f aca="false">IF(INDEX(등급!$H$5:$H$12,MATCH($D226,등급!$A$5:$A$12,0))=0,"-",IF(INDEX(등급!$G$5:$G$12,MATCH($D226,등급!$A$5:$A$12,0))=INDEX(등급!$H$5:$H$12,MATCH($D226,등급!$A$5:$A$12,0)),INDEX(등급!$G$5:$G$12,MATCH($D226,등급!$A$5:$A$12,0))&amp;"칸",INDEX(등급!$G$5:$G$12,MATCH($D226,등급!$A$5:$A$12,0))&amp;"~"&amp;INDEX(등급!$H$5:$H$12,MATCH($D226,등급!$A$5:$A$12,0))&amp;"칸"))</f>
        <v>-</v>
      </c>
      <c r="M226" s="19" t="str">
        <f aca="false">IF(INDEX(등급!$J$5:$J$12,MATCH($D226,등급!$A$5:$A$12,0))=0,"-",IF(INDEX(등급!$I$5:$I$12,MATCH($D226,등급!$A$5:$A$12,0))=INDEX(등급!$J$5:$J$12,MATCH($D226,등급!$A$5:$A$12,0)),INDEX(등급!$I$5:$I$12,MATCH($D226,등급!$A$5:$A$12,0))&amp;"개",INDEX(등급!$I$5:$I$12,MATCH($D226,등급!$A$5:$A$12,0))&amp;"~"&amp;INDEX(등급!$J$5:$J$12,MATCH($D226,등급!$A$5:$A$12,0))&amp;"개"))</f>
        <v>-</v>
      </c>
      <c r="N226" s="19" t="str">
        <f aca="false">IF(INDEX(등급!$L$5:$L$12,MATCH($D226,등급!$A$5:$A$12,0))=0,"-",INDEX(등급!$K$5:$K$12,MATCH($D226,등급!$A$5:$A$12,0))&amp;"~"&amp;INDEX(등급!$L$5:$L$12,MATCH($D226,등급!$A$5:$A$12,0))&amp;"개")</f>
        <v>-</v>
      </c>
    </row>
    <row r="227" customFormat="false" ht="15" hidden="false" customHeight="false" outlineLevel="0" collapsed="false">
      <c r="A227" s="19" t="str">
        <f aca="false">장비_기본!B32</f>
        <v>현자의 로브</v>
      </c>
      <c r="B227" s="19" t="str">
        <f aca="false">장비_기본!C32</f>
        <v>갑옷</v>
      </c>
      <c r="C227" s="19" t="str">
        <f aca="false">장비_기본!D32</f>
        <v>매지션</v>
      </c>
      <c r="D227" s="8" t="s">
        <v>49</v>
      </c>
      <c r="E227" s="19" t="str">
        <f aca="false">장비_기본!F32</f>
        <v>체력</v>
      </c>
      <c r="F227" s="20" t="n">
        <f aca="false">장비_기본!G32*INDEX(등급!$C$5:$C$12,MATCH($D227,등급!$A$5:$A$12,0))</f>
        <v>76.8</v>
      </c>
      <c r="G227" s="19" t="str">
        <f aca="false">장비_기본!H32</f>
        <v>쿨타임 감소</v>
      </c>
      <c r="H227" s="21" t="n">
        <f aca="false">장비_기본!I32*INDEX(등급!$C$5:$C$12,MATCH($D227,등급!$A$5:$A$12,0))</f>
        <v>0.032</v>
      </c>
      <c r="I227" s="19" t="str">
        <f aca="false">장비_기본!J32</f>
        <v>쿨타임 감소 +[값]%</v>
      </c>
      <c r="J227" s="20" t="n">
        <f aca="false">ROUND(장비_기본!K32*INDEX(등급!$F$5:$F$12,MATCH($D227,등급!$A$5:$A$12,0)),1)</f>
        <v>4</v>
      </c>
      <c r="K227" s="19" t="n">
        <f aca="false">INDEX(등급!$D$5:$D$12,MATCH($D227,등급!$A$5:$A$12,0))</f>
        <v>4</v>
      </c>
      <c r="L227" s="19" t="str">
        <f aca="false">IF(INDEX(등급!$H$5:$H$12,MATCH($D227,등급!$A$5:$A$12,0))=0,"-",IF(INDEX(등급!$G$5:$G$12,MATCH($D227,등급!$A$5:$A$12,0))=INDEX(등급!$H$5:$H$12,MATCH($D227,등급!$A$5:$A$12,0)),INDEX(등급!$G$5:$G$12,MATCH($D227,등급!$A$5:$A$12,0))&amp;"칸",INDEX(등급!$G$5:$G$12,MATCH($D227,등급!$A$5:$A$12,0))&amp;"~"&amp;INDEX(등급!$H$5:$H$12,MATCH($D227,등급!$A$5:$A$12,0))&amp;"칸"))</f>
        <v>1칸</v>
      </c>
      <c r="M227" s="19" t="str">
        <f aca="false">IF(INDEX(등급!$J$5:$J$12,MATCH($D227,등급!$A$5:$A$12,0))=0,"-",IF(INDEX(등급!$I$5:$I$12,MATCH($D227,등급!$A$5:$A$12,0))=INDEX(등급!$J$5:$J$12,MATCH($D227,등급!$A$5:$A$12,0)),INDEX(등급!$I$5:$I$12,MATCH($D227,등급!$A$5:$A$12,0))&amp;"개",INDEX(등급!$I$5:$I$12,MATCH($D227,등급!$A$5:$A$12,0))&amp;"~"&amp;INDEX(등급!$J$5:$J$12,MATCH($D227,등급!$A$5:$A$12,0))&amp;"개"))</f>
        <v>0~1개</v>
      </c>
      <c r="N227" s="19" t="str">
        <f aca="false">IF(INDEX(등급!$L$5:$L$12,MATCH($D227,등급!$A$5:$A$12,0))=0,"-",INDEX(등급!$K$5:$K$12,MATCH($D227,등급!$A$5:$A$12,0))&amp;"~"&amp;INDEX(등급!$L$5:$L$12,MATCH($D227,등급!$A$5:$A$12,0))&amp;"개")</f>
        <v>0~1개</v>
      </c>
    </row>
    <row r="228" customFormat="false" ht="15" hidden="false" customHeight="false" outlineLevel="0" collapsed="false">
      <c r="A228" s="19" t="str">
        <f aca="false">장비_기본!B32</f>
        <v>현자의 로브</v>
      </c>
      <c r="B228" s="19" t="str">
        <f aca="false">장비_기본!C32</f>
        <v>갑옷</v>
      </c>
      <c r="C228" s="19" t="str">
        <f aca="false">장비_기본!D32</f>
        <v>매지션</v>
      </c>
      <c r="D228" s="8" t="s">
        <v>51</v>
      </c>
      <c r="E228" s="19" t="str">
        <f aca="false">장비_기본!F32</f>
        <v>체력</v>
      </c>
      <c r="F228" s="20" t="n">
        <f aca="false">장비_기본!G32*INDEX(등급!$C$5:$C$12,MATCH($D228,등급!$A$5:$A$12,0))</f>
        <v>79.2</v>
      </c>
      <c r="G228" s="19" t="str">
        <f aca="false">장비_기본!H32</f>
        <v>쿨타임 감소</v>
      </c>
      <c r="H228" s="21" t="n">
        <f aca="false">장비_기본!I32*INDEX(등급!$C$5:$C$12,MATCH($D228,등급!$A$5:$A$12,0))</f>
        <v>0.033</v>
      </c>
      <c r="I228" s="19" t="str">
        <f aca="false">장비_기본!J32</f>
        <v>쿨타임 감소 +[값]%</v>
      </c>
      <c r="J228" s="20" t="n">
        <f aca="false">ROUND(장비_기본!K32*INDEX(등급!$F$5:$F$12,MATCH($D228,등급!$A$5:$A$12,0)),1)</f>
        <v>4.5</v>
      </c>
      <c r="K228" s="19" t="n">
        <f aca="false">INDEX(등급!$D$5:$D$12,MATCH($D228,등급!$A$5:$A$12,0))</f>
        <v>4</v>
      </c>
      <c r="L228" s="19" t="str">
        <f aca="false">IF(INDEX(등급!$H$5:$H$12,MATCH($D228,등급!$A$5:$A$12,0))=0,"-",IF(INDEX(등급!$G$5:$G$12,MATCH($D228,등급!$A$5:$A$12,0))=INDEX(등급!$H$5:$H$12,MATCH($D228,등급!$A$5:$A$12,0)),INDEX(등급!$G$5:$G$12,MATCH($D228,등급!$A$5:$A$12,0))&amp;"칸",INDEX(등급!$G$5:$G$12,MATCH($D228,등급!$A$5:$A$12,0))&amp;"~"&amp;INDEX(등급!$H$5:$H$12,MATCH($D228,등급!$A$5:$A$12,0))&amp;"칸"))</f>
        <v>1~3칸</v>
      </c>
      <c r="M228" s="19" t="str">
        <f aca="false">IF(INDEX(등급!$J$5:$J$12,MATCH($D228,등급!$A$5:$A$12,0))=0,"-",IF(INDEX(등급!$I$5:$I$12,MATCH($D228,등급!$A$5:$A$12,0))=INDEX(등급!$J$5:$J$12,MATCH($D228,등급!$A$5:$A$12,0)),INDEX(등급!$I$5:$I$12,MATCH($D228,등급!$A$5:$A$12,0))&amp;"개",INDEX(등급!$I$5:$I$12,MATCH($D228,등급!$A$5:$A$12,0))&amp;"~"&amp;INDEX(등급!$J$5:$J$12,MATCH($D228,등급!$A$5:$A$12,0))&amp;"개"))</f>
        <v>1개</v>
      </c>
      <c r="N228" s="19" t="str">
        <f aca="false">IF(INDEX(등급!$L$5:$L$12,MATCH($D228,등급!$A$5:$A$12,0))=0,"-",INDEX(등급!$K$5:$K$12,MATCH($D228,등급!$A$5:$A$12,0))&amp;"~"&amp;INDEX(등급!$L$5:$L$12,MATCH($D228,등급!$A$5:$A$12,0))&amp;"개")</f>
        <v>0~2개</v>
      </c>
    </row>
    <row r="229" customFormat="false" ht="15" hidden="false" customHeight="false" outlineLevel="0" collapsed="false">
      <c r="A229" s="19" t="str">
        <f aca="false">장비_기본!B33</f>
        <v>불꽃 망토</v>
      </c>
      <c r="B229" s="19" t="str">
        <f aca="false">장비_기본!C33</f>
        <v>갑옷</v>
      </c>
      <c r="C229" s="19" t="str">
        <f aca="false">장비_기본!D33</f>
        <v>매지션</v>
      </c>
      <c r="D229" s="8" t="s">
        <v>43</v>
      </c>
      <c r="E229" s="19" t="str">
        <f aca="false">장비_기본!F33</f>
        <v>체력</v>
      </c>
      <c r="F229" s="20" t="n">
        <f aca="false">장비_기본!G33*INDEX(등급!$C$5:$C$12,MATCH($D229,등급!$A$5:$A$12,0))</f>
        <v>24</v>
      </c>
      <c r="G229" s="19" t="str">
        <f aca="false">장비_기본!H33</f>
        <v>쿨타임 감소</v>
      </c>
      <c r="H229" s="21" t="n">
        <f aca="false">장비_기본!I33*INDEX(등급!$C$5:$C$12,MATCH($D229,등급!$A$5:$A$12,0))</f>
        <v>0.01</v>
      </c>
      <c r="I229" s="19" t="str">
        <f aca="false">장비_기본!J33</f>
        <v>화상 지속 +[값]초</v>
      </c>
      <c r="J229" s="20" t="n">
        <f aca="false">ROUND(장비_기본!K33*INDEX(등급!$F$5:$F$12,MATCH($D229,등급!$A$5:$A$12,0)),1)</f>
        <v>0.4</v>
      </c>
      <c r="K229" s="19" t="n">
        <f aca="false">INDEX(등급!$D$5:$D$12,MATCH($D229,등급!$A$5:$A$12,0))</f>
        <v>0</v>
      </c>
      <c r="L229" s="19" t="str">
        <f aca="false">IF(INDEX(등급!$H$5:$H$12,MATCH($D229,등급!$A$5:$A$12,0))=0,"-",IF(INDEX(등급!$G$5:$G$12,MATCH($D229,등급!$A$5:$A$12,0))=INDEX(등급!$H$5:$H$12,MATCH($D229,등급!$A$5:$A$12,0)),INDEX(등급!$G$5:$G$12,MATCH($D229,등급!$A$5:$A$12,0))&amp;"칸",INDEX(등급!$G$5:$G$12,MATCH($D229,등급!$A$5:$A$12,0))&amp;"~"&amp;INDEX(등급!$H$5:$H$12,MATCH($D229,등급!$A$5:$A$12,0))&amp;"칸"))</f>
        <v>-</v>
      </c>
      <c r="M229" s="19" t="str">
        <f aca="false">IF(INDEX(등급!$J$5:$J$12,MATCH($D229,등급!$A$5:$A$12,0))=0,"-",IF(INDEX(등급!$I$5:$I$12,MATCH($D229,등급!$A$5:$A$12,0))=INDEX(등급!$J$5:$J$12,MATCH($D229,등급!$A$5:$A$12,0)),INDEX(등급!$I$5:$I$12,MATCH($D229,등급!$A$5:$A$12,0))&amp;"개",INDEX(등급!$I$5:$I$12,MATCH($D229,등급!$A$5:$A$12,0))&amp;"~"&amp;INDEX(등급!$J$5:$J$12,MATCH($D229,등급!$A$5:$A$12,0))&amp;"개"))</f>
        <v>-</v>
      </c>
      <c r="N229" s="19" t="str">
        <f aca="false">IF(INDEX(등급!$L$5:$L$12,MATCH($D229,등급!$A$5:$A$12,0))=0,"-",INDEX(등급!$K$5:$K$12,MATCH($D229,등급!$A$5:$A$12,0))&amp;"~"&amp;INDEX(등급!$L$5:$L$12,MATCH($D229,등급!$A$5:$A$12,0))&amp;"개")</f>
        <v>-</v>
      </c>
    </row>
    <row r="230" customFormat="false" ht="15" hidden="false" customHeight="false" outlineLevel="0" collapsed="false">
      <c r="A230" s="19" t="str">
        <f aca="false">장비_기본!B33</f>
        <v>불꽃 망토</v>
      </c>
      <c r="B230" s="19" t="str">
        <f aca="false">장비_기본!C33</f>
        <v>갑옷</v>
      </c>
      <c r="C230" s="19" t="str">
        <f aca="false">장비_기본!D33</f>
        <v>매지션</v>
      </c>
      <c r="D230" s="8" t="s">
        <v>44</v>
      </c>
      <c r="E230" s="19" t="str">
        <f aca="false">장비_기본!F33</f>
        <v>체력</v>
      </c>
      <c r="F230" s="20" t="n">
        <f aca="false">장비_기본!G33*INDEX(등급!$C$5:$C$12,MATCH($D230,등급!$A$5:$A$12,0))</f>
        <v>34.8</v>
      </c>
      <c r="G230" s="19" t="str">
        <f aca="false">장비_기본!H33</f>
        <v>쿨타임 감소</v>
      </c>
      <c r="H230" s="21" t="n">
        <f aca="false">장비_기본!I33*INDEX(등급!$C$5:$C$12,MATCH($D230,등급!$A$5:$A$12,0))</f>
        <v>0.0145</v>
      </c>
      <c r="I230" s="19" t="str">
        <f aca="false">장비_기본!J33</f>
        <v>화상 지속 +[값]초</v>
      </c>
      <c r="J230" s="20" t="n">
        <f aca="false">ROUND(장비_기본!K33*INDEX(등급!$F$5:$F$12,MATCH($D230,등급!$A$5:$A$12,0)),1)</f>
        <v>0.5</v>
      </c>
      <c r="K230" s="19" t="n">
        <f aca="false">INDEX(등급!$D$5:$D$12,MATCH($D230,등급!$A$5:$A$12,0))</f>
        <v>0</v>
      </c>
      <c r="L230" s="19" t="str">
        <f aca="false">IF(INDEX(등급!$H$5:$H$12,MATCH($D230,등급!$A$5:$A$12,0))=0,"-",IF(INDEX(등급!$G$5:$G$12,MATCH($D230,등급!$A$5:$A$12,0))=INDEX(등급!$H$5:$H$12,MATCH($D230,등급!$A$5:$A$12,0)),INDEX(등급!$G$5:$G$12,MATCH($D230,등급!$A$5:$A$12,0))&amp;"칸",INDEX(등급!$G$5:$G$12,MATCH($D230,등급!$A$5:$A$12,0))&amp;"~"&amp;INDEX(등급!$H$5:$H$12,MATCH($D230,등급!$A$5:$A$12,0))&amp;"칸"))</f>
        <v>-</v>
      </c>
      <c r="M230" s="19" t="str">
        <f aca="false">IF(INDEX(등급!$J$5:$J$12,MATCH($D230,등급!$A$5:$A$12,0))=0,"-",IF(INDEX(등급!$I$5:$I$12,MATCH($D230,등급!$A$5:$A$12,0))=INDEX(등급!$J$5:$J$12,MATCH($D230,등급!$A$5:$A$12,0)),INDEX(등급!$I$5:$I$12,MATCH($D230,등급!$A$5:$A$12,0))&amp;"개",INDEX(등급!$I$5:$I$12,MATCH($D230,등급!$A$5:$A$12,0))&amp;"~"&amp;INDEX(등급!$J$5:$J$12,MATCH($D230,등급!$A$5:$A$12,0))&amp;"개"))</f>
        <v>-</v>
      </c>
      <c r="N230" s="19" t="str">
        <f aca="false">IF(INDEX(등급!$L$5:$L$12,MATCH($D230,등급!$A$5:$A$12,0))=0,"-",INDEX(등급!$K$5:$K$12,MATCH($D230,등급!$A$5:$A$12,0))&amp;"~"&amp;INDEX(등급!$L$5:$L$12,MATCH($D230,등급!$A$5:$A$12,0))&amp;"개")</f>
        <v>-</v>
      </c>
    </row>
    <row r="231" customFormat="false" ht="15" hidden="false" customHeight="false" outlineLevel="0" collapsed="false">
      <c r="A231" s="19" t="str">
        <f aca="false">장비_기본!B33</f>
        <v>불꽃 망토</v>
      </c>
      <c r="B231" s="19" t="str">
        <f aca="false">장비_기본!C33</f>
        <v>갑옷</v>
      </c>
      <c r="C231" s="19" t="str">
        <f aca="false">장비_기본!D33</f>
        <v>매지션</v>
      </c>
      <c r="D231" s="8" t="s">
        <v>45</v>
      </c>
      <c r="E231" s="19" t="str">
        <f aca="false">장비_기본!F33</f>
        <v>체력</v>
      </c>
      <c r="F231" s="20" t="n">
        <f aca="false">장비_기본!G33*INDEX(등급!$C$5:$C$12,MATCH($D231,등급!$A$5:$A$12,0))</f>
        <v>40.8</v>
      </c>
      <c r="G231" s="19" t="str">
        <f aca="false">장비_기본!H33</f>
        <v>쿨타임 감소</v>
      </c>
      <c r="H231" s="21" t="n">
        <f aca="false">장비_기본!I33*INDEX(등급!$C$5:$C$12,MATCH($D231,등급!$A$5:$A$12,0))</f>
        <v>0.017</v>
      </c>
      <c r="I231" s="19" t="str">
        <f aca="false">장비_기본!J33</f>
        <v>화상 지속 +[값]초</v>
      </c>
      <c r="J231" s="20" t="n">
        <f aca="false">ROUND(장비_기본!K33*INDEX(등급!$F$5:$F$12,MATCH($D231,등급!$A$5:$A$12,0)),1)</f>
        <v>0.6</v>
      </c>
      <c r="K231" s="19" t="n">
        <f aca="false">INDEX(등급!$D$5:$D$12,MATCH($D231,등급!$A$5:$A$12,0))</f>
        <v>1</v>
      </c>
      <c r="L231" s="19" t="str">
        <f aca="false">IF(INDEX(등급!$H$5:$H$12,MATCH($D231,등급!$A$5:$A$12,0))=0,"-",IF(INDEX(등급!$G$5:$G$12,MATCH($D231,등급!$A$5:$A$12,0))=INDEX(등급!$H$5:$H$12,MATCH($D231,등급!$A$5:$A$12,0)),INDEX(등급!$G$5:$G$12,MATCH($D231,등급!$A$5:$A$12,0))&amp;"칸",INDEX(등급!$G$5:$G$12,MATCH($D231,등급!$A$5:$A$12,0))&amp;"~"&amp;INDEX(등급!$H$5:$H$12,MATCH($D231,등급!$A$5:$A$12,0))&amp;"칸"))</f>
        <v>-</v>
      </c>
      <c r="M231" s="19" t="str">
        <f aca="false">IF(INDEX(등급!$J$5:$J$12,MATCH($D231,등급!$A$5:$A$12,0))=0,"-",IF(INDEX(등급!$I$5:$I$12,MATCH($D231,등급!$A$5:$A$12,0))=INDEX(등급!$J$5:$J$12,MATCH($D231,등급!$A$5:$A$12,0)),INDEX(등급!$I$5:$I$12,MATCH($D231,등급!$A$5:$A$12,0))&amp;"개",INDEX(등급!$I$5:$I$12,MATCH($D231,등급!$A$5:$A$12,0))&amp;"~"&amp;INDEX(등급!$J$5:$J$12,MATCH($D231,등급!$A$5:$A$12,0))&amp;"개"))</f>
        <v>-</v>
      </c>
      <c r="N231" s="19" t="str">
        <f aca="false">IF(INDEX(등급!$L$5:$L$12,MATCH($D231,등급!$A$5:$A$12,0))=0,"-",INDEX(등급!$K$5:$K$12,MATCH($D231,등급!$A$5:$A$12,0))&amp;"~"&amp;INDEX(등급!$L$5:$L$12,MATCH($D231,등급!$A$5:$A$12,0))&amp;"개")</f>
        <v>-</v>
      </c>
    </row>
    <row r="232" customFormat="false" ht="15" hidden="false" customHeight="false" outlineLevel="0" collapsed="false">
      <c r="A232" s="19" t="str">
        <f aca="false">장비_기본!B33</f>
        <v>불꽃 망토</v>
      </c>
      <c r="B232" s="19" t="str">
        <f aca="false">장비_기본!C33</f>
        <v>갑옷</v>
      </c>
      <c r="C232" s="19" t="str">
        <f aca="false">장비_기본!D33</f>
        <v>매지션</v>
      </c>
      <c r="D232" s="8" t="s">
        <v>46</v>
      </c>
      <c r="E232" s="19" t="str">
        <f aca="false">장비_기본!F33</f>
        <v>체력</v>
      </c>
      <c r="F232" s="20" t="n">
        <f aca="false">장비_기본!G33*INDEX(등급!$C$5:$C$12,MATCH($D232,등급!$A$5:$A$12,0))</f>
        <v>50.4</v>
      </c>
      <c r="G232" s="19" t="str">
        <f aca="false">장비_기본!H33</f>
        <v>쿨타임 감소</v>
      </c>
      <c r="H232" s="21" t="n">
        <f aca="false">장비_기본!I33*INDEX(등급!$C$5:$C$12,MATCH($D232,등급!$A$5:$A$12,0))</f>
        <v>0.021</v>
      </c>
      <c r="I232" s="19" t="str">
        <f aca="false">장비_기본!J33</f>
        <v>화상 지속 +[값]초</v>
      </c>
      <c r="J232" s="20" t="n">
        <f aca="false">ROUND(장비_기본!K33*INDEX(등급!$F$5:$F$12,MATCH($D232,등급!$A$5:$A$12,0)),1)</f>
        <v>0.7</v>
      </c>
      <c r="K232" s="19" t="n">
        <f aca="false">INDEX(등급!$D$5:$D$12,MATCH($D232,등급!$A$5:$A$12,0))</f>
        <v>2</v>
      </c>
      <c r="L232" s="19" t="str">
        <f aca="false">IF(INDEX(등급!$H$5:$H$12,MATCH($D232,등급!$A$5:$A$12,0))=0,"-",IF(INDEX(등급!$G$5:$G$12,MATCH($D232,등급!$A$5:$A$12,0))=INDEX(등급!$H$5:$H$12,MATCH($D232,등급!$A$5:$A$12,0)),INDEX(등급!$G$5:$G$12,MATCH($D232,등급!$A$5:$A$12,0))&amp;"칸",INDEX(등급!$G$5:$G$12,MATCH($D232,등급!$A$5:$A$12,0))&amp;"~"&amp;INDEX(등급!$H$5:$H$12,MATCH($D232,등급!$A$5:$A$12,0))&amp;"칸"))</f>
        <v>-</v>
      </c>
      <c r="M232" s="19" t="str">
        <f aca="false">IF(INDEX(등급!$J$5:$J$12,MATCH($D232,등급!$A$5:$A$12,0))=0,"-",IF(INDEX(등급!$I$5:$I$12,MATCH($D232,등급!$A$5:$A$12,0))=INDEX(등급!$J$5:$J$12,MATCH($D232,등급!$A$5:$A$12,0)),INDEX(등급!$I$5:$I$12,MATCH($D232,등급!$A$5:$A$12,0))&amp;"개",INDEX(등급!$I$5:$I$12,MATCH($D232,등급!$A$5:$A$12,0))&amp;"~"&amp;INDEX(등급!$J$5:$J$12,MATCH($D232,등급!$A$5:$A$12,0))&amp;"개"))</f>
        <v>-</v>
      </c>
      <c r="N232" s="19" t="str">
        <f aca="false">IF(INDEX(등급!$L$5:$L$12,MATCH($D232,등급!$A$5:$A$12,0))=0,"-",INDEX(등급!$K$5:$K$12,MATCH($D232,등급!$A$5:$A$12,0))&amp;"~"&amp;INDEX(등급!$L$5:$L$12,MATCH($D232,등급!$A$5:$A$12,0))&amp;"개")</f>
        <v>-</v>
      </c>
    </row>
    <row r="233" customFormat="false" ht="15" hidden="false" customHeight="false" outlineLevel="0" collapsed="false">
      <c r="A233" s="19" t="str">
        <f aca="false">장비_기본!B33</f>
        <v>불꽃 망토</v>
      </c>
      <c r="B233" s="19" t="str">
        <f aca="false">장비_기본!C33</f>
        <v>갑옷</v>
      </c>
      <c r="C233" s="19" t="str">
        <f aca="false">장비_기본!D33</f>
        <v>매지션</v>
      </c>
      <c r="D233" s="8" t="s">
        <v>47</v>
      </c>
      <c r="E233" s="19" t="str">
        <f aca="false">장비_기본!F33</f>
        <v>체력</v>
      </c>
      <c r="F233" s="20" t="n">
        <f aca="false">장비_기본!G33*INDEX(등급!$C$5:$C$12,MATCH($D233,등급!$A$5:$A$12,0))</f>
        <v>61.2</v>
      </c>
      <c r="G233" s="19" t="str">
        <f aca="false">장비_기본!H33</f>
        <v>쿨타임 감소</v>
      </c>
      <c r="H233" s="21" t="n">
        <f aca="false">장비_기본!I33*INDEX(등급!$C$5:$C$12,MATCH($D233,등급!$A$5:$A$12,0))</f>
        <v>0.0255</v>
      </c>
      <c r="I233" s="19" t="str">
        <f aca="false">장비_기본!J33</f>
        <v>화상 지속 +[값]초</v>
      </c>
      <c r="J233" s="20" t="n">
        <f aca="false">ROUND(장비_기본!K33*INDEX(등급!$F$5:$F$12,MATCH($D233,등급!$A$5:$A$12,0)),1)</f>
        <v>0.8</v>
      </c>
      <c r="K233" s="19" t="n">
        <f aca="false">INDEX(등급!$D$5:$D$12,MATCH($D233,등급!$A$5:$A$12,0))</f>
        <v>3</v>
      </c>
      <c r="L233" s="19" t="str">
        <f aca="false">IF(INDEX(등급!$H$5:$H$12,MATCH($D233,등급!$A$5:$A$12,0))=0,"-",IF(INDEX(등급!$G$5:$G$12,MATCH($D233,등급!$A$5:$A$12,0))=INDEX(등급!$H$5:$H$12,MATCH($D233,등급!$A$5:$A$12,0)),INDEX(등급!$G$5:$G$12,MATCH($D233,등급!$A$5:$A$12,0))&amp;"칸",INDEX(등급!$G$5:$G$12,MATCH($D233,등급!$A$5:$A$12,0))&amp;"~"&amp;INDEX(등급!$H$5:$H$12,MATCH($D233,등급!$A$5:$A$12,0))&amp;"칸"))</f>
        <v>-</v>
      </c>
      <c r="M233" s="19" t="str">
        <f aca="false">IF(INDEX(등급!$J$5:$J$12,MATCH($D233,등급!$A$5:$A$12,0))=0,"-",IF(INDEX(등급!$I$5:$I$12,MATCH($D233,등급!$A$5:$A$12,0))=INDEX(등급!$J$5:$J$12,MATCH($D233,등급!$A$5:$A$12,0)),INDEX(등급!$I$5:$I$12,MATCH($D233,등급!$A$5:$A$12,0))&amp;"개",INDEX(등급!$I$5:$I$12,MATCH($D233,등급!$A$5:$A$12,0))&amp;"~"&amp;INDEX(등급!$J$5:$J$12,MATCH($D233,등급!$A$5:$A$12,0))&amp;"개"))</f>
        <v>-</v>
      </c>
      <c r="N233" s="19" t="str">
        <f aca="false">IF(INDEX(등급!$L$5:$L$12,MATCH($D233,등급!$A$5:$A$12,0))=0,"-",INDEX(등급!$K$5:$K$12,MATCH($D233,등급!$A$5:$A$12,0))&amp;"~"&amp;INDEX(등급!$L$5:$L$12,MATCH($D233,등급!$A$5:$A$12,0))&amp;"개")</f>
        <v>-</v>
      </c>
    </row>
    <row r="234" customFormat="false" ht="15" hidden="false" customHeight="false" outlineLevel="0" collapsed="false">
      <c r="A234" s="19" t="str">
        <f aca="false">장비_기본!B33</f>
        <v>불꽃 망토</v>
      </c>
      <c r="B234" s="19" t="str">
        <f aca="false">장비_기본!C33</f>
        <v>갑옷</v>
      </c>
      <c r="C234" s="19" t="str">
        <f aca="false">장비_기본!D33</f>
        <v>매지션</v>
      </c>
      <c r="D234" s="8" t="s">
        <v>48</v>
      </c>
      <c r="E234" s="19" t="str">
        <f aca="false">장비_기본!F33</f>
        <v>체력</v>
      </c>
      <c r="F234" s="20" t="n">
        <f aca="false">장비_기본!G33*INDEX(등급!$C$5:$C$12,MATCH($D234,등급!$A$5:$A$12,0))</f>
        <v>73.2</v>
      </c>
      <c r="G234" s="19" t="str">
        <f aca="false">장비_기본!H33</f>
        <v>쿨타임 감소</v>
      </c>
      <c r="H234" s="21" t="n">
        <f aca="false">장비_기본!I33*INDEX(등급!$C$5:$C$12,MATCH($D234,등급!$A$5:$A$12,0))</f>
        <v>0.0305</v>
      </c>
      <c r="I234" s="19" t="str">
        <f aca="false">장비_기본!J33</f>
        <v>화상 지속 +[값]초</v>
      </c>
      <c r="J234" s="20" t="n">
        <f aca="false">ROUND(장비_기본!K33*INDEX(등급!$F$5:$F$12,MATCH($D234,등급!$A$5:$A$12,0)),1)</f>
        <v>0.9</v>
      </c>
      <c r="K234" s="19" t="n">
        <f aca="false">INDEX(등급!$D$5:$D$12,MATCH($D234,등급!$A$5:$A$12,0))</f>
        <v>4</v>
      </c>
      <c r="L234" s="19" t="str">
        <f aca="false">IF(INDEX(등급!$H$5:$H$12,MATCH($D234,등급!$A$5:$A$12,0))=0,"-",IF(INDEX(등급!$G$5:$G$12,MATCH($D234,등급!$A$5:$A$12,0))=INDEX(등급!$H$5:$H$12,MATCH($D234,등급!$A$5:$A$12,0)),INDEX(등급!$G$5:$G$12,MATCH($D234,등급!$A$5:$A$12,0))&amp;"칸",INDEX(등급!$G$5:$G$12,MATCH($D234,등급!$A$5:$A$12,0))&amp;"~"&amp;INDEX(등급!$H$5:$H$12,MATCH($D234,등급!$A$5:$A$12,0))&amp;"칸"))</f>
        <v>-</v>
      </c>
      <c r="M234" s="19" t="str">
        <f aca="false">IF(INDEX(등급!$J$5:$J$12,MATCH($D234,등급!$A$5:$A$12,0))=0,"-",IF(INDEX(등급!$I$5:$I$12,MATCH($D234,등급!$A$5:$A$12,0))=INDEX(등급!$J$5:$J$12,MATCH($D234,등급!$A$5:$A$12,0)),INDEX(등급!$I$5:$I$12,MATCH($D234,등급!$A$5:$A$12,0))&amp;"개",INDEX(등급!$I$5:$I$12,MATCH($D234,등급!$A$5:$A$12,0))&amp;"~"&amp;INDEX(등급!$J$5:$J$12,MATCH($D234,등급!$A$5:$A$12,0))&amp;"개"))</f>
        <v>-</v>
      </c>
      <c r="N234" s="19" t="str">
        <f aca="false">IF(INDEX(등급!$L$5:$L$12,MATCH($D234,등급!$A$5:$A$12,0))=0,"-",INDEX(등급!$K$5:$K$12,MATCH($D234,등급!$A$5:$A$12,0))&amp;"~"&amp;INDEX(등급!$L$5:$L$12,MATCH($D234,등급!$A$5:$A$12,0))&amp;"개")</f>
        <v>-</v>
      </c>
    </row>
    <row r="235" customFormat="false" ht="15" hidden="false" customHeight="false" outlineLevel="0" collapsed="false">
      <c r="A235" s="19" t="str">
        <f aca="false">장비_기본!B33</f>
        <v>불꽃 망토</v>
      </c>
      <c r="B235" s="19" t="str">
        <f aca="false">장비_기본!C33</f>
        <v>갑옷</v>
      </c>
      <c r="C235" s="19" t="str">
        <f aca="false">장비_기본!D33</f>
        <v>매지션</v>
      </c>
      <c r="D235" s="8" t="s">
        <v>49</v>
      </c>
      <c r="E235" s="19" t="str">
        <f aca="false">장비_기본!F33</f>
        <v>체력</v>
      </c>
      <c r="F235" s="20" t="n">
        <f aca="false">장비_기본!G33*INDEX(등급!$C$5:$C$12,MATCH($D235,등급!$A$5:$A$12,0))</f>
        <v>76.8</v>
      </c>
      <c r="G235" s="19" t="str">
        <f aca="false">장비_기본!H33</f>
        <v>쿨타임 감소</v>
      </c>
      <c r="H235" s="21" t="n">
        <f aca="false">장비_기본!I33*INDEX(등급!$C$5:$C$12,MATCH($D235,등급!$A$5:$A$12,0))</f>
        <v>0.032</v>
      </c>
      <c r="I235" s="19" t="str">
        <f aca="false">장비_기본!J33</f>
        <v>화상 지속 +[값]초</v>
      </c>
      <c r="J235" s="20" t="n">
        <f aca="false">ROUND(장비_기본!K33*INDEX(등급!$F$5:$F$12,MATCH($D235,등급!$A$5:$A$12,0)),1)</f>
        <v>1.1</v>
      </c>
      <c r="K235" s="19" t="n">
        <f aca="false">INDEX(등급!$D$5:$D$12,MATCH($D235,등급!$A$5:$A$12,0))</f>
        <v>4</v>
      </c>
      <c r="L235" s="19" t="str">
        <f aca="false">IF(INDEX(등급!$H$5:$H$12,MATCH($D235,등급!$A$5:$A$12,0))=0,"-",IF(INDEX(등급!$G$5:$G$12,MATCH($D235,등급!$A$5:$A$12,0))=INDEX(등급!$H$5:$H$12,MATCH($D235,등급!$A$5:$A$12,0)),INDEX(등급!$G$5:$G$12,MATCH($D235,등급!$A$5:$A$12,0))&amp;"칸",INDEX(등급!$G$5:$G$12,MATCH($D235,등급!$A$5:$A$12,0))&amp;"~"&amp;INDEX(등급!$H$5:$H$12,MATCH($D235,등급!$A$5:$A$12,0))&amp;"칸"))</f>
        <v>1칸</v>
      </c>
      <c r="M235" s="19" t="str">
        <f aca="false">IF(INDEX(등급!$J$5:$J$12,MATCH($D235,등급!$A$5:$A$12,0))=0,"-",IF(INDEX(등급!$I$5:$I$12,MATCH($D235,등급!$A$5:$A$12,0))=INDEX(등급!$J$5:$J$12,MATCH($D235,등급!$A$5:$A$12,0)),INDEX(등급!$I$5:$I$12,MATCH($D235,등급!$A$5:$A$12,0))&amp;"개",INDEX(등급!$I$5:$I$12,MATCH($D235,등급!$A$5:$A$12,0))&amp;"~"&amp;INDEX(등급!$J$5:$J$12,MATCH($D235,등급!$A$5:$A$12,0))&amp;"개"))</f>
        <v>0~1개</v>
      </c>
      <c r="N235" s="19" t="str">
        <f aca="false">IF(INDEX(등급!$L$5:$L$12,MATCH($D235,등급!$A$5:$A$12,0))=0,"-",INDEX(등급!$K$5:$K$12,MATCH($D235,등급!$A$5:$A$12,0))&amp;"~"&amp;INDEX(등급!$L$5:$L$12,MATCH($D235,등급!$A$5:$A$12,0))&amp;"개")</f>
        <v>0~1개</v>
      </c>
    </row>
    <row r="236" customFormat="false" ht="15" hidden="false" customHeight="false" outlineLevel="0" collapsed="false">
      <c r="A236" s="19" t="str">
        <f aca="false">장비_기본!B33</f>
        <v>불꽃 망토</v>
      </c>
      <c r="B236" s="19" t="str">
        <f aca="false">장비_기본!C33</f>
        <v>갑옷</v>
      </c>
      <c r="C236" s="19" t="str">
        <f aca="false">장비_기본!D33</f>
        <v>매지션</v>
      </c>
      <c r="D236" s="8" t="s">
        <v>51</v>
      </c>
      <c r="E236" s="19" t="str">
        <f aca="false">장비_기본!F33</f>
        <v>체력</v>
      </c>
      <c r="F236" s="20" t="n">
        <f aca="false">장비_기본!G33*INDEX(등급!$C$5:$C$12,MATCH($D236,등급!$A$5:$A$12,0))</f>
        <v>79.2</v>
      </c>
      <c r="G236" s="19" t="str">
        <f aca="false">장비_기본!H33</f>
        <v>쿨타임 감소</v>
      </c>
      <c r="H236" s="21" t="n">
        <f aca="false">장비_기본!I33*INDEX(등급!$C$5:$C$12,MATCH($D236,등급!$A$5:$A$12,0))</f>
        <v>0.033</v>
      </c>
      <c r="I236" s="19" t="str">
        <f aca="false">장비_기본!J33</f>
        <v>화상 지속 +[값]초</v>
      </c>
      <c r="J236" s="20" t="n">
        <f aca="false">ROUND(장비_기본!K33*INDEX(등급!$F$5:$F$12,MATCH($D236,등급!$A$5:$A$12,0)),1)</f>
        <v>1.2</v>
      </c>
      <c r="K236" s="19" t="n">
        <f aca="false">INDEX(등급!$D$5:$D$12,MATCH($D236,등급!$A$5:$A$12,0))</f>
        <v>4</v>
      </c>
      <c r="L236" s="19" t="str">
        <f aca="false">IF(INDEX(등급!$H$5:$H$12,MATCH($D236,등급!$A$5:$A$12,0))=0,"-",IF(INDEX(등급!$G$5:$G$12,MATCH($D236,등급!$A$5:$A$12,0))=INDEX(등급!$H$5:$H$12,MATCH($D236,등급!$A$5:$A$12,0)),INDEX(등급!$G$5:$G$12,MATCH($D236,등급!$A$5:$A$12,0))&amp;"칸",INDEX(등급!$G$5:$G$12,MATCH($D236,등급!$A$5:$A$12,0))&amp;"~"&amp;INDEX(등급!$H$5:$H$12,MATCH($D236,등급!$A$5:$A$12,0))&amp;"칸"))</f>
        <v>1~3칸</v>
      </c>
      <c r="M236" s="19" t="str">
        <f aca="false">IF(INDEX(등급!$J$5:$J$12,MATCH($D236,등급!$A$5:$A$12,0))=0,"-",IF(INDEX(등급!$I$5:$I$12,MATCH($D236,등급!$A$5:$A$12,0))=INDEX(등급!$J$5:$J$12,MATCH($D236,등급!$A$5:$A$12,0)),INDEX(등급!$I$5:$I$12,MATCH($D236,등급!$A$5:$A$12,0))&amp;"개",INDEX(등급!$I$5:$I$12,MATCH($D236,등급!$A$5:$A$12,0))&amp;"~"&amp;INDEX(등급!$J$5:$J$12,MATCH($D236,등급!$A$5:$A$12,0))&amp;"개"))</f>
        <v>1개</v>
      </c>
      <c r="N236" s="19" t="str">
        <f aca="false">IF(INDEX(등급!$L$5:$L$12,MATCH($D236,등급!$A$5:$A$12,0))=0,"-",INDEX(등급!$K$5:$K$12,MATCH($D236,등급!$A$5:$A$12,0))&amp;"~"&amp;INDEX(등급!$L$5:$L$12,MATCH($D236,등급!$A$5:$A$12,0))&amp;"개")</f>
        <v>0~2개</v>
      </c>
    </row>
    <row r="237" customFormat="false" ht="15" hidden="false" customHeight="false" outlineLevel="0" collapsed="false">
      <c r="A237" s="19" t="str">
        <f aca="false">장비_기본!B34</f>
        <v>마력 장막 로브</v>
      </c>
      <c r="B237" s="19" t="str">
        <f aca="false">장비_기본!C34</f>
        <v>갑옷</v>
      </c>
      <c r="C237" s="19" t="str">
        <f aca="false">장비_기본!D34</f>
        <v>매지션</v>
      </c>
      <c r="D237" s="8" t="s">
        <v>43</v>
      </c>
      <c r="E237" s="19" t="str">
        <f aca="false">장비_기본!F34</f>
        <v>체력</v>
      </c>
      <c r="F237" s="20" t="n">
        <f aca="false">장비_기본!G34*INDEX(등급!$C$5:$C$12,MATCH($D237,등급!$A$5:$A$12,0))</f>
        <v>24</v>
      </c>
      <c r="G237" s="19" t="str">
        <f aca="false">장비_기본!H34</f>
        <v>쿨타임 감소</v>
      </c>
      <c r="H237" s="21" t="n">
        <f aca="false">장비_기본!I34*INDEX(등급!$C$5:$C$12,MATCH($D237,등급!$A$5:$A$12,0))</f>
        <v>0.01</v>
      </c>
      <c r="I237" s="19" t="str">
        <f aca="false">장비_기본!J34</f>
        <v>전투 시작 시 최대 HP [값]% 보호막</v>
      </c>
      <c r="J237" s="20" t="n">
        <f aca="false">ROUND(장비_기본!K34*INDEX(등급!$F$5:$F$12,MATCH($D237,등급!$A$5:$A$12,0)),1)</f>
        <v>6</v>
      </c>
      <c r="K237" s="19" t="n">
        <f aca="false">INDEX(등급!$D$5:$D$12,MATCH($D237,등급!$A$5:$A$12,0))</f>
        <v>0</v>
      </c>
      <c r="L237" s="19" t="str">
        <f aca="false">IF(INDEX(등급!$H$5:$H$12,MATCH($D237,등급!$A$5:$A$12,0))=0,"-",IF(INDEX(등급!$G$5:$G$12,MATCH($D237,등급!$A$5:$A$12,0))=INDEX(등급!$H$5:$H$12,MATCH($D237,등급!$A$5:$A$12,0)),INDEX(등급!$G$5:$G$12,MATCH($D237,등급!$A$5:$A$12,0))&amp;"칸",INDEX(등급!$G$5:$G$12,MATCH($D237,등급!$A$5:$A$12,0))&amp;"~"&amp;INDEX(등급!$H$5:$H$12,MATCH($D237,등급!$A$5:$A$12,0))&amp;"칸"))</f>
        <v>-</v>
      </c>
      <c r="M237" s="19" t="str">
        <f aca="false">IF(INDEX(등급!$J$5:$J$12,MATCH($D237,등급!$A$5:$A$12,0))=0,"-",IF(INDEX(등급!$I$5:$I$12,MATCH($D237,등급!$A$5:$A$12,0))=INDEX(등급!$J$5:$J$12,MATCH($D237,등급!$A$5:$A$12,0)),INDEX(등급!$I$5:$I$12,MATCH($D237,등급!$A$5:$A$12,0))&amp;"개",INDEX(등급!$I$5:$I$12,MATCH($D237,등급!$A$5:$A$12,0))&amp;"~"&amp;INDEX(등급!$J$5:$J$12,MATCH($D237,등급!$A$5:$A$12,0))&amp;"개"))</f>
        <v>-</v>
      </c>
      <c r="N237" s="19" t="str">
        <f aca="false">IF(INDEX(등급!$L$5:$L$12,MATCH($D237,등급!$A$5:$A$12,0))=0,"-",INDEX(등급!$K$5:$K$12,MATCH($D237,등급!$A$5:$A$12,0))&amp;"~"&amp;INDEX(등급!$L$5:$L$12,MATCH($D237,등급!$A$5:$A$12,0))&amp;"개")</f>
        <v>-</v>
      </c>
    </row>
    <row r="238" customFormat="false" ht="15" hidden="false" customHeight="false" outlineLevel="0" collapsed="false">
      <c r="A238" s="19" t="str">
        <f aca="false">장비_기본!B34</f>
        <v>마력 장막 로브</v>
      </c>
      <c r="B238" s="19" t="str">
        <f aca="false">장비_기본!C34</f>
        <v>갑옷</v>
      </c>
      <c r="C238" s="19" t="str">
        <f aca="false">장비_기본!D34</f>
        <v>매지션</v>
      </c>
      <c r="D238" s="8" t="s">
        <v>44</v>
      </c>
      <c r="E238" s="19" t="str">
        <f aca="false">장비_기본!F34</f>
        <v>체력</v>
      </c>
      <c r="F238" s="20" t="n">
        <f aca="false">장비_기본!G34*INDEX(등급!$C$5:$C$12,MATCH($D238,등급!$A$5:$A$12,0))</f>
        <v>34.8</v>
      </c>
      <c r="G238" s="19" t="str">
        <f aca="false">장비_기본!H34</f>
        <v>쿨타임 감소</v>
      </c>
      <c r="H238" s="21" t="n">
        <f aca="false">장비_기본!I34*INDEX(등급!$C$5:$C$12,MATCH($D238,등급!$A$5:$A$12,0))</f>
        <v>0.0145</v>
      </c>
      <c r="I238" s="19" t="str">
        <f aca="false">장비_기본!J34</f>
        <v>전투 시작 시 최대 HP [값]% 보호막</v>
      </c>
      <c r="J238" s="20" t="n">
        <f aca="false">ROUND(장비_기본!K34*INDEX(등급!$F$5:$F$12,MATCH($D238,등급!$A$5:$A$12,0)),1)</f>
        <v>8.1</v>
      </c>
      <c r="K238" s="19" t="n">
        <f aca="false">INDEX(등급!$D$5:$D$12,MATCH($D238,등급!$A$5:$A$12,0))</f>
        <v>0</v>
      </c>
      <c r="L238" s="19" t="str">
        <f aca="false">IF(INDEX(등급!$H$5:$H$12,MATCH($D238,등급!$A$5:$A$12,0))=0,"-",IF(INDEX(등급!$G$5:$G$12,MATCH($D238,등급!$A$5:$A$12,0))=INDEX(등급!$H$5:$H$12,MATCH($D238,등급!$A$5:$A$12,0)),INDEX(등급!$G$5:$G$12,MATCH($D238,등급!$A$5:$A$12,0))&amp;"칸",INDEX(등급!$G$5:$G$12,MATCH($D238,등급!$A$5:$A$12,0))&amp;"~"&amp;INDEX(등급!$H$5:$H$12,MATCH($D238,등급!$A$5:$A$12,0))&amp;"칸"))</f>
        <v>-</v>
      </c>
      <c r="M238" s="19" t="str">
        <f aca="false">IF(INDEX(등급!$J$5:$J$12,MATCH($D238,등급!$A$5:$A$12,0))=0,"-",IF(INDEX(등급!$I$5:$I$12,MATCH($D238,등급!$A$5:$A$12,0))=INDEX(등급!$J$5:$J$12,MATCH($D238,등급!$A$5:$A$12,0)),INDEX(등급!$I$5:$I$12,MATCH($D238,등급!$A$5:$A$12,0))&amp;"개",INDEX(등급!$I$5:$I$12,MATCH($D238,등급!$A$5:$A$12,0))&amp;"~"&amp;INDEX(등급!$J$5:$J$12,MATCH($D238,등급!$A$5:$A$12,0))&amp;"개"))</f>
        <v>-</v>
      </c>
      <c r="N238" s="19" t="str">
        <f aca="false">IF(INDEX(등급!$L$5:$L$12,MATCH($D238,등급!$A$5:$A$12,0))=0,"-",INDEX(등급!$K$5:$K$12,MATCH($D238,등급!$A$5:$A$12,0))&amp;"~"&amp;INDEX(등급!$L$5:$L$12,MATCH($D238,등급!$A$5:$A$12,0))&amp;"개")</f>
        <v>-</v>
      </c>
    </row>
    <row r="239" customFormat="false" ht="15" hidden="false" customHeight="false" outlineLevel="0" collapsed="false">
      <c r="A239" s="19" t="str">
        <f aca="false">장비_기본!B34</f>
        <v>마력 장막 로브</v>
      </c>
      <c r="B239" s="19" t="str">
        <f aca="false">장비_기본!C34</f>
        <v>갑옷</v>
      </c>
      <c r="C239" s="19" t="str">
        <f aca="false">장비_기본!D34</f>
        <v>매지션</v>
      </c>
      <c r="D239" s="8" t="s">
        <v>45</v>
      </c>
      <c r="E239" s="19" t="str">
        <f aca="false">장비_기본!F34</f>
        <v>체력</v>
      </c>
      <c r="F239" s="20" t="n">
        <f aca="false">장비_기본!G34*INDEX(등급!$C$5:$C$12,MATCH($D239,등급!$A$5:$A$12,0))</f>
        <v>40.8</v>
      </c>
      <c r="G239" s="19" t="str">
        <f aca="false">장비_기본!H34</f>
        <v>쿨타임 감소</v>
      </c>
      <c r="H239" s="21" t="n">
        <f aca="false">장비_기본!I34*INDEX(등급!$C$5:$C$12,MATCH($D239,등급!$A$5:$A$12,0))</f>
        <v>0.017</v>
      </c>
      <c r="I239" s="19" t="str">
        <f aca="false">장비_기본!J34</f>
        <v>전투 시작 시 최대 HP [값]% 보호막</v>
      </c>
      <c r="J239" s="20" t="n">
        <f aca="false">ROUND(장비_기본!K34*INDEX(등급!$F$5:$F$12,MATCH($D239,등급!$A$5:$A$12,0)),1)</f>
        <v>9</v>
      </c>
      <c r="K239" s="19" t="n">
        <f aca="false">INDEX(등급!$D$5:$D$12,MATCH($D239,등급!$A$5:$A$12,0))</f>
        <v>1</v>
      </c>
      <c r="L239" s="19" t="str">
        <f aca="false">IF(INDEX(등급!$H$5:$H$12,MATCH($D239,등급!$A$5:$A$12,0))=0,"-",IF(INDEX(등급!$G$5:$G$12,MATCH($D239,등급!$A$5:$A$12,0))=INDEX(등급!$H$5:$H$12,MATCH($D239,등급!$A$5:$A$12,0)),INDEX(등급!$G$5:$G$12,MATCH($D239,등급!$A$5:$A$12,0))&amp;"칸",INDEX(등급!$G$5:$G$12,MATCH($D239,등급!$A$5:$A$12,0))&amp;"~"&amp;INDEX(등급!$H$5:$H$12,MATCH($D239,등급!$A$5:$A$12,0))&amp;"칸"))</f>
        <v>-</v>
      </c>
      <c r="M239" s="19" t="str">
        <f aca="false">IF(INDEX(등급!$J$5:$J$12,MATCH($D239,등급!$A$5:$A$12,0))=0,"-",IF(INDEX(등급!$I$5:$I$12,MATCH($D239,등급!$A$5:$A$12,0))=INDEX(등급!$J$5:$J$12,MATCH($D239,등급!$A$5:$A$12,0)),INDEX(등급!$I$5:$I$12,MATCH($D239,등급!$A$5:$A$12,0))&amp;"개",INDEX(등급!$I$5:$I$12,MATCH($D239,등급!$A$5:$A$12,0))&amp;"~"&amp;INDEX(등급!$J$5:$J$12,MATCH($D239,등급!$A$5:$A$12,0))&amp;"개"))</f>
        <v>-</v>
      </c>
      <c r="N239" s="19" t="str">
        <f aca="false">IF(INDEX(등급!$L$5:$L$12,MATCH($D239,등급!$A$5:$A$12,0))=0,"-",INDEX(등급!$K$5:$K$12,MATCH($D239,등급!$A$5:$A$12,0))&amp;"~"&amp;INDEX(등급!$L$5:$L$12,MATCH($D239,등급!$A$5:$A$12,0))&amp;"개")</f>
        <v>-</v>
      </c>
    </row>
    <row r="240" customFormat="false" ht="15" hidden="false" customHeight="false" outlineLevel="0" collapsed="false">
      <c r="A240" s="19" t="str">
        <f aca="false">장비_기본!B34</f>
        <v>마력 장막 로브</v>
      </c>
      <c r="B240" s="19" t="str">
        <f aca="false">장비_기본!C34</f>
        <v>갑옷</v>
      </c>
      <c r="C240" s="19" t="str">
        <f aca="false">장비_기본!D34</f>
        <v>매지션</v>
      </c>
      <c r="D240" s="8" t="s">
        <v>46</v>
      </c>
      <c r="E240" s="19" t="str">
        <f aca="false">장비_기본!F34</f>
        <v>체력</v>
      </c>
      <c r="F240" s="20" t="n">
        <f aca="false">장비_기본!G34*INDEX(등급!$C$5:$C$12,MATCH($D240,등급!$A$5:$A$12,0))</f>
        <v>50.4</v>
      </c>
      <c r="G240" s="19" t="str">
        <f aca="false">장비_기본!H34</f>
        <v>쿨타임 감소</v>
      </c>
      <c r="H240" s="21" t="n">
        <f aca="false">장비_기본!I34*INDEX(등급!$C$5:$C$12,MATCH($D240,등급!$A$5:$A$12,0))</f>
        <v>0.021</v>
      </c>
      <c r="I240" s="19" t="str">
        <f aca="false">장비_기본!J34</f>
        <v>전투 시작 시 최대 HP [값]% 보호막</v>
      </c>
      <c r="J240" s="20" t="n">
        <f aca="false">ROUND(장비_기본!K34*INDEX(등급!$F$5:$F$12,MATCH($D240,등급!$A$5:$A$12,0)),1)</f>
        <v>10.5</v>
      </c>
      <c r="K240" s="19" t="n">
        <f aca="false">INDEX(등급!$D$5:$D$12,MATCH($D240,등급!$A$5:$A$12,0))</f>
        <v>2</v>
      </c>
      <c r="L240" s="19" t="str">
        <f aca="false">IF(INDEX(등급!$H$5:$H$12,MATCH($D240,등급!$A$5:$A$12,0))=0,"-",IF(INDEX(등급!$G$5:$G$12,MATCH($D240,등급!$A$5:$A$12,0))=INDEX(등급!$H$5:$H$12,MATCH($D240,등급!$A$5:$A$12,0)),INDEX(등급!$G$5:$G$12,MATCH($D240,등급!$A$5:$A$12,0))&amp;"칸",INDEX(등급!$G$5:$G$12,MATCH($D240,등급!$A$5:$A$12,0))&amp;"~"&amp;INDEX(등급!$H$5:$H$12,MATCH($D240,등급!$A$5:$A$12,0))&amp;"칸"))</f>
        <v>-</v>
      </c>
      <c r="M240" s="19" t="str">
        <f aca="false">IF(INDEX(등급!$J$5:$J$12,MATCH($D240,등급!$A$5:$A$12,0))=0,"-",IF(INDEX(등급!$I$5:$I$12,MATCH($D240,등급!$A$5:$A$12,0))=INDEX(등급!$J$5:$J$12,MATCH($D240,등급!$A$5:$A$12,0)),INDEX(등급!$I$5:$I$12,MATCH($D240,등급!$A$5:$A$12,0))&amp;"개",INDEX(등급!$I$5:$I$12,MATCH($D240,등급!$A$5:$A$12,0))&amp;"~"&amp;INDEX(등급!$J$5:$J$12,MATCH($D240,등급!$A$5:$A$12,0))&amp;"개"))</f>
        <v>-</v>
      </c>
      <c r="N240" s="19" t="str">
        <f aca="false">IF(INDEX(등급!$L$5:$L$12,MATCH($D240,등급!$A$5:$A$12,0))=0,"-",INDEX(등급!$K$5:$K$12,MATCH($D240,등급!$A$5:$A$12,0))&amp;"~"&amp;INDEX(등급!$L$5:$L$12,MATCH($D240,등급!$A$5:$A$12,0))&amp;"개")</f>
        <v>-</v>
      </c>
    </row>
    <row r="241" customFormat="false" ht="15" hidden="false" customHeight="false" outlineLevel="0" collapsed="false">
      <c r="A241" s="19" t="str">
        <f aca="false">장비_기본!B34</f>
        <v>마력 장막 로브</v>
      </c>
      <c r="B241" s="19" t="str">
        <f aca="false">장비_기본!C34</f>
        <v>갑옷</v>
      </c>
      <c r="C241" s="19" t="str">
        <f aca="false">장비_기본!D34</f>
        <v>매지션</v>
      </c>
      <c r="D241" s="8" t="s">
        <v>47</v>
      </c>
      <c r="E241" s="19" t="str">
        <f aca="false">장비_기본!F34</f>
        <v>체력</v>
      </c>
      <c r="F241" s="20" t="n">
        <f aca="false">장비_기본!G34*INDEX(등급!$C$5:$C$12,MATCH($D241,등급!$A$5:$A$12,0))</f>
        <v>61.2</v>
      </c>
      <c r="G241" s="19" t="str">
        <f aca="false">장비_기본!H34</f>
        <v>쿨타임 감소</v>
      </c>
      <c r="H241" s="21" t="n">
        <f aca="false">장비_기본!I34*INDEX(등급!$C$5:$C$12,MATCH($D241,등급!$A$5:$A$12,0))</f>
        <v>0.0255</v>
      </c>
      <c r="I241" s="19" t="str">
        <f aca="false">장비_기본!J34</f>
        <v>전투 시작 시 최대 HP [값]% 보호막</v>
      </c>
      <c r="J241" s="20" t="n">
        <f aca="false">ROUND(장비_기본!K34*INDEX(등급!$F$5:$F$12,MATCH($D241,등급!$A$5:$A$12,0)),1)</f>
        <v>12</v>
      </c>
      <c r="K241" s="19" t="n">
        <f aca="false">INDEX(등급!$D$5:$D$12,MATCH($D241,등급!$A$5:$A$12,0))</f>
        <v>3</v>
      </c>
      <c r="L241" s="19" t="str">
        <f aca="false">IF(INDEX(등급!$H$5:$H$12,MATCH($D241,등급!$A$5:$A$12,0))=0,"-",IF(INDEX(등급!$G$5:$G$12,MATCH($D241,등급!$A$5:$A$12,0))=INDEX(등급!$H$5:$H$12,MATCH($D241,등급!$A$5:$A$12,0)),INDEX(등급!$G$5:$G$12,MATCH($D241,등급!$A$5:$A$12,0))&amp;"칸",INDEX(등급!$G$5:$G$12,MATCH($D241,등급!$A$5:$A$12,0))&amp;"~"&amp;INDEX(등급!$H$5:$H$12,MATCH($D241,등급!$A$5:$A$12,0))&amp;"칸"))</f>
        <v>-</v>
      </c>
      <c r="M241" s="19" t="str">
        <f aca="false">IF(INDEX(등급!$J$5:$J$12,MATCH($D241,등급!$A$5:$A$12,0))=0,"-",IF(INDEX(등급!$I$5:$I$12,MATCH($D241,등급!$A$5:$A$12,0))=INDEX(등급!$J$5:$J$12,MATCH($D241,등급!$A$5:$A$12,0)),INDEX(등급!$I$5:$I$12,MATCH($D241,등급!$A$5:$A$12,0))&amp;"개",INDEX(등급!$I$5:$I$12,MATCH($D241,등급!$A$5:$A$12,0))&amp;"~"&amp;INDEX(등급!$J$5:$J$12,MATCH($D241,등급!$A$5:$A$12,0))&amp;"개"))</f>
        <v>-</v>
      </c>
      <c r="N241" s="19" t="str">
        <f aca="false">IF(INDEX(등급!$L$5:$L$12,MATCH($D241,등급!$A$5:$A$12,0))=0,"-",INDEX(등급!$K$5:$K$12,MATCH($D241,등급!$A$5:$A$12,0))&amp;"~"&amp;INDEX(등급!$L$5:$L$12,MATCH($D241,등급!$A$5:$A$12,0))&amp;"개")</f>
        <v>-</v>
      </c>
    </row>
    <row r="242" customFormat="false" ht="15" hidden="false" customHeight="false" outlineLevel="0" collapsed="false">
      <c r="A242" s="19" t="str">
        <f aca="false">장비_기본!B34</f>
        <v>마력 장막 로브</v>
      </c>
      <c r="B242" s="19" t="str">
        <f aca="false">장비_기본!C34</f>
        <v>갑옷</v>
      </c>
      <c r="C242" s="19" t="str">
        <f aca="false">장비_기본!D34</f>
        <v>매지션</v>
      </c>
      <c r="D242" s="8" t="s">
        <v>48</v>
      </c>
      <c r="E242" s="19" t="str">
        <f aca="false">장비_기본!F34</f>
        <v>체력</v>
      </c>
      <c r="F242" s="20" t="n">
        <f aca="false">장비_기본!G34*INDEX(등급!$C$5:$C$12,MATCH($D242,등급!$A$5:$A$12,0))</f>
        <v>73.2</v>
      </c>
      <c r="G242" s="19" t="str">
        <f aca="false">장비_기본!H34</f>
        <v>쿨타임 감소</v>
      </c>
      <c r="H242" s="21" t="n">
        <f aca="false">장비_기본!I34*INDEX(등급!$C$5:$C$12,MATCH($D242,등급!$A$5:$A$12,0))</f>
        <v>0.0305</v>
      </c>
      <c r="I242" s="19" t="str">
        <f aca="false">장비_기본!J34</f>
        <v>전투 시작 시 최대 HP [값]% 보호막</v>
      </c>
      <c r="J242" s="20" t="n">
        <f aca="false">ROUND(장비_기본!K34*INDEX(등급!$F$5:$F$12,MATCH($D242,등급!$A$5:$A$12,0)),1)</f>
        <v>13.8</v>
      </c>
      <c r="K242" s="19" t="n">
        <f aca="false">INDEX(등급!$D$5:$D$12,MATCH($D242,등급!$A$5:$A$12,0))</f>
        <v>4</v>
      </c>
      <c r="L242" s="19" t="str">
        <f aca="false">IF(INDEX(등급!$H$5:$H$12,MATCH($D242,등급!$A$5:$A$12,0))=0,"-",IF(INDEX(등급!$G$5:$G$12,MATCH($D242,등급!$A$5:$A$12,0))=INDEX(등급!$H$5:$H$12,MATCH($D242,등급!$A$5:$A$12,0)),INDEX(등급!$G$5:$G$12,MATCH($D242,등급!$A$5:$A$12,0))&amp;"칸",INDEX(등급!$G$5:$G$12,MATCH($D242,등급!$A$5:$A$12,0))&amp;"~"&amp;INDEX(등급!$H$5:$H$12,MATCH($D242,등급!$A$5:$A$12,0))&amp;"칸"))</f>
        <v>-</v>
      </c>
      <c r="M242" s="19" t="str">
        <f aca="false">IF(INDEX(등급!$J$5:$J$12,MATCH($D242,등급!$A$5:$A$12,0))=0,"-",IF(INDEX(등급!$I$5:$I$12,MATCH($D242,등급!$A$5:$A$12,0))=INDEX(등급!$J$5:$J$12,MATCH($D242,등급!$A$5:$A$12,0)),INDEX(등급!$I$5:$I$12,MATCH($D242,등급!$A$5:$A$12,0))&amp;"개",INDEX(등급!$I$5:$I$12,MATCH($D242,등급!$A$5:$A$12,0))&amp;"~"&amp;INDEX(등급!$J$5:$J$12,MATCH($D242,등급!$A$5:$A$12,0))&amp;"개"))</f>
        <v>-</v>
      </c>
      <c r="N242" s="19" t="str">
        <f aca="false">IF(INDEX(등급!$L$5:$L$12,MATCH($D242,등급!$A$5:$A$12,0))=0,"-",INDEX(등급!$K$5:$K$12,MATCH($D242,등급!$A$5:$A$12,0))&amp;"~"&amp;INDEX(등급!$L$5:$L$12,MATCH($D242,등급!$A$5:$A$12,0))&amp;"개")</f>
        <v>-</v>
      </c>
    </row>
    <row r="243" customFormat="false" ht="15" hidden="false" customHeight="false" outlineLevel="0" collapsed="false">
      <c r="A243" s="19" t="str">
        <f aca="false">장비_기본!B34</f>
        <v>마력 장막 로브</v>
      </c>
      <c r="B243" s="19" t="str">
        <f aca="false">장비_기본!C34</f>
        <v>갑옷</v>
      </c>
      <c r="C243" s="19" t="str">
        <f aca="false">장비_기본!D34</f>
        <v>매지션</v>
      </c>
      <c r="D243" s="8" t="s">
        <v>49</v>
      </c>
      <c r="E243" s="19" t="str">
        <f aca="false">장비_기본!F34</f>
        <v>체력</v>
      </c>
      <c r="F243" s="20" t="n">
        <f aca="false">장비_기본!G34*INDEX(등급!$C$5:$C$12,MATCH($D243,등급!$A$5:$A$12,0))</f>
        <v>76.8</v>
      </c>
      <c r="G243" s="19" t="str">
        <f aca="false">장비_기본!H34</f>
        <v>쿨타임 감소</v>
      </c>
      <c r="H243" s="21" t="n">
        <f aca="false">장비_기본!I34*INDEX(등급!$C$5:$C$12,MATCH($D243,등급!$A$5:$A$12,0))</f>
        <v>0.032</v>
      </c>
      <c r="I243" s="19" t="str">
        <f aca="false">장비_기본!J34</f>
        <v>전투 시작 시 최대 HP [값]% 보호막</v>
      </c>
      <c r="J243" s="20" t="n">
        <f aca="false">ROUND(장비_기본!K34*INDEX(등급!$F$5:$F$12,MATCH($D243,등급!$A$5:$A$12,0)),1)</f>
        <v>15.9</v>
      </c>
      <c r="K243" s="19" t="n">
        <f aca="false">INDEX(등급!$D$5:$D$12,MATCH($D243,등급!$A$5:$A$12,0))</f>
        <v>4</v>
      </c>
      <c r="L243" s="19" t="str">
        <f aca="false">IF(INDEX(등급!$H$5:$H$12,MATCH($D243,등급!$A$5:$A$12,0))=0,"-",IF(INDEX(등급!$G$5:$G$12,MATCH($D243,등급!$A$5:$A$12,0))=INDEX(등급!$H$5:$H$12,MATCH($D243,등급!$A$5:$A$12,0)),INDEX(등급!$G$5:$G$12,MATCH($D243,등급!$A$5:$A$12,0))&amp;"칸",INDEX(등급!$G$5:$G$12,MATCH($D243,등급!$A$5:$A$12,0))&amp;"~"&amp;INDEX(등급!$H$5:$H$12,MATCH($D243,등급!$A$5:$A$12,0))&amp;"칸"))</f>
        <v>1칸</v>
      </c>
      <c r="M243" s="19" t="str">
        <f aca="false">IF(INDEX(등급!$J$5:$J$12,MATCH($D243,등급!$A$5:$A$12,0))=0,"-",IF(INDEX(등급!$I$5:$I$12,MATCH($D243,등급!$A$5:$A$12,0))=INDEX(등급!$J$5:$J$12,MATCH($D243,등급!$A$5:$A$12,0)),INDEX(등급!$I$5:$I$12,MATCH($D243,등급!$A$5:$A$12,0))&amp;"개",INDEX(등급!$I$5:$I$12,MATCH($D243,등급!$A$5:$A$12,0))&amp;"~"&amp;INDEX(등급!$J$5:$J$12,MATCH($D243,등급!$A$5:$A$12,0))&amp;"개"))</f>
        <v>0~1개</v>
      </c>
      <c r="N243" s="19" t="str">
        <f aca="false">IF(INDEX(등급!$L$5:$L$12,MATCH($D243,등급!$A$5:$A$12,0))=0,"-",INDEX(등급!$K$5:$K$12,MATCH($D243,등급!$A$5:$A$12,0))&amp;"~"&amp;INDEX(등급!$L$5:$L$12,MATCH($D243,등급!$A$5:$A$12,0))&amp;"개")</f>
        <v>0~1개</v>
      </c>
    </row>
    <row r="244" customFormat="false" ht="15" hidden="false" customHeight="false" outlineLevel="0" collapsed="false">
      <c r="A244" s="19" t="str">
        <f aca="false">장비_기본!B34</f>
        <v>마력 장막 로브</v>
      </c>
      <c r="B244" s="19" t="str">
        <f aca="false">장비_기본!C34</f>
        <v>갑옷</v>
      </c>
      <c r="C244" s="19" t="str">
        <f aca="false">장비_기본!D34</f>
        <v>매지션</v>
      </c>
      <c r="D244" s="8" t="s">
        <v>51</v>
      </c>
      <c r="E244" s="19" t="str">
        <f aca="false">장비_기본!F34</f>
        <v>체력</v>
      </c>
      <c r="F244" s="20" t="n">
        <f aca="false">장비_기본!G34*INDEX(등급!$C$5:$C$12,MATCH($D244,등급!$A$5:$A$12,0))</f>
        <v>79.2</v>
      </c>
      <c r="G244" s="19" t="str">
        <f aca="false">장비_기본!H34</f>
        <v>쿨타임 감소</v>
      </c>
      <c r="H244" s="21" t="n">
        <f aca="false">장비_기본!I34*INDEX(등급!$C$5:$C$12,MATCH($D244,등급!$A$5:$A$12,0))</f>
        <v>0.033</v>
      </c>
      <c r="I244" s="19" t="str">
        <f aca="false">장비_기본!J34</f>
        <v>전투 시작 시 최대 HP [값]% 보호막</v>
      </c>
      <c r="J244" s="20" t="n">
        <f aca="false">ROUND(장비_기본!K34*INDEX(등급!$F$5:$F$12,MATCH($D244,등급!$A$5:$A$12,0)),1)</f>
        <v>18</v>
      </c>
      <c r="K244" s="19" t="n">
        <f aca="false">INDEX(등급!$D$5:$D$12,MATCH($D244,등급!$A$5:$A$12,0))</f>
        <v>4</v>
      </c>
      <c r="L244" s="19" t="str">
        <f aca="false">IF(INDEX(등급!$H$5:$H$12,MATCH($D244,등급!$A$5:$A$12,0))=0,"-",IF(INDEX(등급!$G$5:$G$12,MATCH($D244,등급!$A$5:$A$12,0))=INDEX(등급!$H$5:$H$12,MATCH($D244,등급!$A$5:$A$12,0)),INDEX(등급!$G$5:$G$12,MATCH($D244,등급!$A$5:$A$12,0))&amp;"칸",INDEX(등급!$G$5:$G$12,MATCH($D244,등급!$A$5:$A$12,0))&amp;"~"&amp;INDEX(등급!$H$5:$H$12,MATCH($D244,등급!$A$5:$A$12,0))&amp;"칸"))</f>
        <v>1~3칸</v>
      </c>
      <c r="M244" s="19" t="str">
        <f aca="false">IF(INDEX(등급!$J$5:$J$12,MATCH($D244,등급!$A$5:$A$12,0))=0,"-",IF(INDEX(등급!$I$5:$I$12,MATCH($D244,등급!$A$5:$A$12,0))=INDEX(등급!$J$5:$J$12,MATCH($D244,등급!$A$5:$A$12,0)),INDEX(등급!$I$5:$I$12,MATCH($D244,등급!$A$5:$A$12,0))&amp;"개",INDEX(등급!$I$5:$I$12,MATCH($D244,등급!$A$5:$A$12,0))&amp;"~"&amp;INDEX(등급!$J$5:$J$12,MATCH($D244,등급!$A$5:$A$12,0))&amp;"개"))</f>
        <v>1개</v>
      </c>
      <c r="N244" s="19" t="str">
        <f aca="false">IF(INDEX(등급!$L$5:$L$12,MATCH($D244,등급!$A$5:$A$12,0))=0,"-",INDEX(등급!$K$5:$K$12,MATCH($D244,등급!$A$5:$A$12,0))&amp;"~"&amp;INDEX(등급!$L$5:$L$12,MATCH($D244,등급!$A$5:$A$12,0))&amp;"개")</f>
        <v>0~2개</v>
      </c>
    </row>
    <row r="245" customFormat="false" ht="15" hidden="false" customHeight="false" outlineLevel="0" collapsed="false">
      <c r="A245" s="19" t="str">
        <f aca="false">장비_기본!B35</f>
        <v>대마도사의 소울 메달</v>
      </c>
      <c r="B245" s="19" t="str">
        <f aca="false">장비_기본!C35</f>
        <v>소울 메달</v>
      </c>
      <c r="C245" s="19" t="str">
        <f aca="false">장비_기본!D35</f>
        <v>매지션</v>
      </c>
      <c r="D245" s="8" t="s">
        <v>43</v>
      </c>
      <c r="E245" s="19" t="str">
        <f aca="false">장비_기본!F35</f>
        <v>스킬 피해</v>
      </c>
      <c r="F245" s="21" t="n">
        <f aca="false">장비_기본!G35*INDEX(등급!$C$5:$C$12,MATCH($D245,등급!$A$5:$A$12,0))</f>
        <v>0.04</v>
      </c>
      <c r="G245" s="19" t="str">
        <f aca="false">장비_기본!H35</f>
        <v>① 스킬 위력</v>
      </c>
      <c r="H245" s="21" t="n">
        <f aca="false">장비_기본!I35*INDEX(등급!$C$5:$C$12,MATCH($D245,등급!$A$5:$A$12,0))</f>
        <v>0.1</v>
      </c>
      <c r="I245" s="13" t="s">
        <v>78</v>
      </c>
      <c r="J245" s="12"/>
      <c r="K245" s="19" t="n">
        <f aca="false">INDEX(등급!$D$5:$D$12,MATCH($D245,등급!$A$5:$A$12,0))</f>
        <v>0</v>
      </c>
      <c r="L245" s="19" t="str">
        <f aca="false">IF(INDEX(등급!$H$5:$H$12,MATCH($D245,등급!$A$5:$A$12,0))=0,"-",IF(INDEX(등급!$G$5:$G$12,MATCH($D245,등급!$A$5:$A$12,0))=INDEX(등급!$H$5:$H$12,MATCH($D245,등급!$A$5:$A$12,0)),INDEX(등급!$G$5:$G$12,MATCH($D245,등급!$A$5:$A$12,0))&amp;"칸",INDEX(등급!$G$5:$G$12,MATCH($D245,등급!$A$5:$A$12,0))&amp;"~"&amp;INDEX(등급!$H$5:$H$12,MATCH($D245,등급!$A$5:$A$12,0))&amp;"칸"))</f>
        <v>-</v>
      </c>
      <c r="M245" s="19" t="str">
        <f aca="false">IF(INDEX(등급!$J$5:$J$12,MATCH($D245,등급!$A$5:$A$12,0))=0,"-",IF(INDEX(등급!$I$5:$I$12,MATCH($D245,등급!$A$5:$A$12,0))=INDEX(등급!$J$5:$J$12,MATCH($D245,등급!$A$5:$A$12,0)),INDEX(등급!$I$5:$I$12,MATCH($D245,등급!$A$5:$A$12,0))&amp;"개",INDEX(등급!$I$5:$I$12,MATCH($D245,등급!$A$5:$A$12,0))&amp;"~"&amp;INDEX(등급!$J$5:$J$12,MATCH($D245,등급!$A$5:$A$12,0))&amp;"개"))</f>
        <v>-</v>
      </c>
      <c r="N245" s="19" t="str">
        <f aca="false">IF(INDEX(등급!$L$5:$L$12,MATCH($D245,등급!$A$5:$A$12,0))=0,"-",INDEX(등급!$K$5:$K$12,MATCH($D245,등급!$A$5:$A$12,0))&amp;"~"&amp;INDEX(등급!$L$5:$L$12,MATCH($D245,등급!$A$5:$A$12,0))&amp;"개")</f>
        <v>-</v>
      </c>
    </row>
    <row r="246" customFormat="false" ht="15" hidden="false" customHeight="false" outlineLevel="0" collapsed="false">
      <c r="A246" s="19" t="str">
        <f aca="false">장비_기본!B35</f>
        <v>대마도사의 소울 메달</v>
      </c>
      <c r="B246" s="19" t="str">
        <f aca="false">장비_기본!C35</f>
        <v>소울 메달</v>
      </c>
      <c r="C246" s="19" t="str">
        <f aca="false">장비_기본!D35</f>
        <v>매지션</v>
      </c>
      <c r="D246" s="8" t="s">
        <v>44</v>
      </c>
      <c r="E246" s="19" t="str">
        <f aca="false">장비_기본!F35</f>
        <v>스킬 피해</v>
      </c>
      <c r="F246" s="21" t="n">
        <f aca="false">장비_기본!G35*INDEX(등급!$C$5:$C$12,MATCH($D246,등급!$A$5:$A$12,0))</f>
        <v>0.058</v>
      </c>
      <c r="G246" s="19" t="str">
        <f aca="false">장비_기본!H35</f>
        <v>① 스킬 위력</v>
      </c>
      <c r="H246" s="21" t="n">
        <f aca="false">장비_기본!I35*INDEX(등급!$C$5:$C$12,MATCH($D246,등급!$A$5:$A$12,0))</f>
        <v>0.145</v>
      </c>
      <c r="I246" s="13" t="s">
        <v>78</v>
      </c>
      <c r="J246" s="12"/>
      <c r="K246" s="19" t="n">
        <f aca="false">INDEX(등급!$D$5:$D$12,MATCH($D246,등급!$A$5:$A$12,0))</f>
        <v>0</v>
      </c>
      <c r="L246" s="19" t="str">
        <f aca="false">IF(INDEX(등급!$H$5:$H$12,MATCH($D246,등급!$A$5:$A$12,0))=0,"-",IF(INDEX(등급!$G$5:$G$12,MATCH($D246,등급!$A$5:$A$12,0))=INDEX(등급!$H$5:$H$12,MATCH($D246,등급!$A$5:$A$12,0)),INDEX(등급!$G$5:$G$12,MATCH($D246,등급!$A$5:$A$12,0))&amp;"칸",INDEX(등급!$G$5:$G$12,MATCH($D246,등급!$A$5:$A$12,0))&amp;"~"&amp;INDEX(등급!$H$5:$H$12,MATCH($D246,등급!$A$5:$A$12,0))&amp;"칸"))</f>
        <v>-</v>
      </c>
      <c r="M246" s="19" t="str">
        <f aca="false">IF(INDEX(등급!$J$5:$J$12,MATCH($D246,등급!$A$5:$A$12,0))=0,"-",IF(INDEX(등급!$I$5:$I$12,MATCH($D246,등급!$A$5:$A$12,0))=INDEX(등급!$J$5:$J$12,MATCH($D246,등급!$A$5:$A$12,0)),INDEX(등급!$I$5:$I$12,MATCH($D246,등급!$A$5:$A$12,0))&amp;"개",INDEX(등급!$I$5:$I$12,MATCH($D246,등급!$A$5:$A$12,0))&amp;"~"&amp;INDEX(등급!$J$5:$J$12,MATCH($D246,등급!$A$5:$A$12,0))&amp;"개"))</f>
        <v>-</v>
      </c>
      <c r="N246" s="19" t="str">
        <f aca="false">IF(INDEX(등급!$L$5:$L$12,MATCH($D246,등급!$A$5:$A$12,0))=0,"-",INDEX(등급!$K$5:$K$12,MATCH($D246,등급!$A$5:$A$12,0))&amp;"~"&amp;INDEX(등급!$L$5:$L$12,MATCH($D246,등급!$A$5:$A$12,0))&amp;"개")</f>
        <v>-</v>
      </c>
    </row>
    <row r="247" customFormat="false" ht="15" hidden="false" customHeight="false" outlineLevel="0" collapsed="false">
      <c r="A247" s="19" t="str">
        <f aca="false">장비_기본!B35</f>
        <v>대마도사의 소울 메달</v>
      </c>
      <c r="B247" s="19" t="str">
        <f aca="false">장비_기본!C35</f>
        <v>소울 메달</v>
      </c>
      <c r="C247" s="19" t="str">
        <f aca="false">장비_기본!D35</f>
        <v>매지션</v>
      </c>
      <c r="D247" s="8" t="s">
        <v>45</v>
      </c>
      <c r="E247" s="19" t="str">
        <f aca="false">장비_기본!F35</f>
        <v>스킬 피해</v>
      </c>
      <c r="F247" s="21" t="n">
        <f aca="false">장비_기본!G35*INDEX(등급!$C$5:$C$12,MATCH($D247,등급!$A$5:$A$12,0))</f>
        <v>0.068</v>
      </c>
      <c r="G247" s="19" t="str">
        <f aca="false">장비_기본!H35</f>
        <v>① 스킬 위력</v>
      </c>
      <c r="H247" s="21" t="n">
        <f aca="false">장비_기본!I35*INDEX(등급!$C$5:$C$12,MATCH($D247,등급!$A$5:$A$12,0))</f>
        <v>0.17</v>
      </c>
      <c r="I247" s="13" t="s">
        <v>78</v>
      </c>
      <c r="J247" s="12"/>
      <c r="K247" s="19" t="n">
        <f aca="false">INDEX(등급!$D$5:$D$12,MATCH($D247,등급!$A$5:$A$12,0))</f>
        <v>1</v>
      </c>
      <c r="L247" s="19" t="str">
        <f aca="false">IF(INDEX(등급!$H$5:$H$12,MATCH($D247,등급!$A$5:$A$12,0))=0,"-",IF(INDEX(등급!$G$5:$G$12,MATCH($D247,등급!$A$5:$A$12,0))=INDEX(등급!$H$5:$H$12,MATCH($D247,등급!$A$5:$A$12,0)),INDEX(등급!$G$5:$G$12,MATCH($D247,등급!$A$5:$A$12,0))&amp;"칸",INDEX(등급!$G$5:$G$12,MATCH($D247,등급!$A$5:$A$12,0))&amp;"~"&amp;INDEX(등급!$H$5:$H$12,MATCH($D247,등급!$A$5:$A$12,0))&amp;"칸"))</f>
        <v>-</v>
      </c>
      <c r="M247" s="19" t="str">
        <f aca="false">IF(INDEX(등급!$J$5:$J$12,MATCH($D247,등급!$A$5:$A$12,0))=0,"-",IF(INDEX(등급!$I$5:$I$12,MATCH($D247,등급!$A$5:$A$12,0))=INDEX(등급!$J$5:$J$12,MATCH($D247,등급!$A$5:$A$12,0)),INDEX(등급!$I$5:$I$12,MATCH($D247,등급!$A$5:$A$12,0))&amp;"개",INDEX(등급!$I$5:$I$12,MATCH($D247,등급!$A$5:$A$12,0))&amp;"~"&amp;INDEX(등급!$J$5:$J$12,MATCH($D247,등급!$A$5:$A$12,0))&amp;"개"))</f>
        <v>-</v>
      </c>
      <c r="N247" s="19" t="str">
        <f aca="false">IF(INDEX(등급!$L$5:$L$12,MATCH($D247,등급!$A$5:$A$12,0))=0,"-",INDEX(등급!$K$5:$K$12,MATCH($D247,등급!$A$5:$A$12,0))&amp;"~"&amp;INDEX(등급!$L$5:$L$12,MATCH($D247,등급!$A$5:$A$12,0))&amp;"개")</f>
        <v>-</v>
      </c>
    </row>
    <row r="248" customFormat="false" ht="15" hidden="false" customHeight="false" outlineLevel="0" collapsed="false">
      <c r="A248" s="19" t="str">
        <f aca="false">장비_기본!B35</f>
        <v>대마도사의 소울 메달</v>
      </c>
      <c r="B248" s="19" t="str">
        <f aca="false">장비_기본!C35</f>
        <v>소울 메달</v>
      </c>
      <c r="C248" s="19" t="str">
        <f aca="false">장비_기본!D35</f>
        <v>매지션</v>
      </c>
      <c r="D248" s="8" t="s">
        <v>46</v>
      </c>
      <c r="E248" s="19" t="str">
        <f aca="false">장비_기본!F35</f>
        <v>스킬 피해</v>
      </c>
      <c r="F248" s="21" t="n">
        <f aca="false">장비_기본!G35*INDEX(등급!$C$5:$C$12,MATCH($D248,등급!$A$5:$A$12,0))</f>
        <v>0.084</v>
      </c>
      <c r="G248" s="19" t="str">
        <f aca="false">장비_기본!H35</f>
        <v>① 스킬 위력</v>
      </c>
      <c r="H248" s="21" t="n">
        <f aca="false">장비_기본!I35*INDEX(등급!$C$5:$C$12,MATCH($D248,등급!$A$5:$A$12,0))</f>
        <v>0.21</v>
      </c>
      <c r="I248" s="13" t="s">
        <v>78</v>
      </c>
      <c r="J248" s="12"/>
      <c r="K248" s="19" t="n">
        <f aca="false">INDEX(등급!$D$5:$D$12,MATCH($D248,등급!$A$5:$A$12,0))</f>
        <v>2</v>
      </c>
      <c r="L248" s="19" t="str">
        <f aca="false">IF(INDEX(등급!$H$5:$H$12,MATCH($D248,등급!$A$5:$A$12,0))=0,"-",IF(INDEX(등급!$G$5:$G$12,MATCH($D248,등급!$A$5:$A$12,0))=INDEX(등급!$H$5:$H$12,MATCH($D248,등급!$A$5:$A$12,0)),INDEX(등급!$G$5:$G$12,MATCH($D248,등급!$A$5:$A$12,0))&amp;"칸",INDEX(등급!$G$5:$G$12,MATCH($D248,등급!$A$5:$A$12,0))&amp;"~"&amp;INDEX(등급!$H$5:$H$12,MATCH($D248,등급!$A$5:$A$12,0))&amp;"칸"))</f>
        <v>-</v>
      </c>
      <c r="M248" s="19" t="str">
        <f aca="false">IF(INDEX(등급!$J$5:$J$12,MATCH($D248,등급!$A$5:$A$12,0))=0,"-",IF(INDEX(등급!$I$5:$I$12,MATCH($D248,등급!$A$5:$A$12,0))=INDEX(등급!$J$5:$J$12,MATCH($D248,등급!$A$5:$A$12,0)),INDEX(등급!$I$5:$I$12,MATCH($D248,등급!$A$5:$A$12,0))&amp;"개",INDEX(등급!$I$5:$I$12,MATCH($D248,등급!$A$5:$A$12,0))&amp;"~"&amp;INDEX(등급!$J$5:$J$12,MATCH($D248,등급!$A$5:$A$12,0))&amp;"개"))</f>
        <v>-</v>
      </c>
      <c r="N248" s="19" t="str">
        <f aca="false">IF(INDEX(등급!$L$5:$L$12,MATCH($D248,등급!$A$5:$A$12,0))=0,"-",INDEX(등급!$K$5:$K$12,MATCH($D248,등급!$A$5:$A$12,0))&amp;"~"&amp;INDEX(등급!$L$5:$L$12,MATCH($D248,등급!$A$5:$A$12,0))&amp;"개")</f>
        <v>-</v>
      </c>
    </row>
    <row r="249" customFormat="false" ht="15" hidden="false" customHeight="false" outlineLevel="0" collapsed="false">
      <c r="A249" s="19" t="str">
        <f aca="false">장비_기본!B35</f>
        <v>대마도사의 소울 메달</v>
      </c>
      <c r="B249" s="19" t="str">
        <f aca="false">장비_기본!C35</f>
        <v>소울 메달</v>
      </c>
      <c r="C249" s="19" t="str">
        <f aca="false">장비_기본!D35</f>
        <v>매지션</v>
      </c>
      <c r="D249" s="8" t="s">
        <v>47</v>
      </c>
      <c r="E249" s="19" t="str">
        <f aca="false">장비_기본!F35</f>
        <v>스킬 피해</v>
      </c>
      <c r="F249" s="21" t="n">
        <f aca="false">장비_기본!G35*INDEX(등급!$C$5:$C$12,MATCH($D249,등급!$A$5:$A$12,0))</f>
        <v>0.102</v>
      </c>
      <c r="G249" s="19" t="str">
        <f aca="false">장비_기본!H35</f>
        <v>① 스킬 위력</v>
      </c>
      <c r="H249" s="21" t="n">
        <f aca="false">장비_기본!I35*INDEX(등급!$C$5:$C$12,MATCH($D249,등급!$A$5:$A$12,0))</f>
        <v>0.255</v>
      </c>
      <c r="I249" s="13" t="s">
        <v>78</v>
      </c>
      <c r="J249" s="12"/>
      <c r="K249" s="19" t="n">
        <f aca="false">INDEX(등급!$D$5:$D$12,MATCH($D249,등급!$A$5:$A$12,0))</f>
        <v>3</v>
      </c>
      <c r="L249" s="19" t="str">
        <f aca="false">IF(INDEX(등급!$H$5:$H$12,MATCH($D249,등급!$A$5:$A$12,0))=0,"-",IF(INDEX(등급!$G$5:$G$12,MATCH($D249,등급!$A$5:$A$12,0))=INDEX(등급!$H$5:$H$12,MATCH($D249,등급!$A$5:$A$12,0)),INDEX(등급!$G$5:$G$12,MATCH($D249,등급!$A$5:$A$12,0))&amp;"칸",INDEX(등급!$G$5:$G$12,MATCH($D249,등급!$A$5:$A$12,0))&amp;"~"&amp;INDEX(등급!$H$5:$H$12,MATCH($D249,등급!$A$5:$A$12,0))&amp;"칸"))</f>
        <v>-</v>
      </c>
      <c r="M249" s="19" t="str">
        <f aca="false">IF(INDEX(등급!$J$5:$J$12,MATCH($D249,등급!$A$5:$A$12,0))=0,"-",IF(INDEX(등급!$I$5:$I$12,MATCH($D249,등급!$A$5:$A$12,0))=INDEX(등급!$J$5:$J$12,MATCH($D249,등급!$A$5:$A$12,0)),INDEX(등급!$I$5:$I$12,MATCH($D249,등급!$A$5:$A$12,0))&amp;"개",INDEX(등급!$I$5:$I$12,MATCH($D249,등급!$A$5:$A$12,0))&amp;"~"&amp;INDEX(등급!$J$5:$J$12,MATCH($D249,등급!$A$5:$A$12,0))&amp;"개"))</f>
        <v>-</v>
      </c>
      <c r="N249" s="19" t="str">
        <f aca="false">IF(INDEX(등급!$L$5:$L$12,MATCH($D249,등급!$A$5:$A$12,0))=0,"-",INDEX(등급!$K$5:$K$12,MATCH($D249,등급!$A$5:$A$12,0))&amp;"~"&amp;INDEX(등급!$L$5:$L$12,MATCH($D249,등급!$A$5:$A$12,0))&amp;"개")</f>
        <v>-</v>
      </c>
    </row>
    <row r="250" customFormat="false" ht="15" hidden="false" customHeight="false" outlineLevel="0" collapsed="false">
      <c r="A250" s="19" t="str">
        <f aca="false">장비_기본!B35</f>
        <v>대마도사의 소울 메달</v>
      </c>
      <c r="B250" s="19" t="str">
        <f aca="false">장비_기본!C35</f>
        <v>소울 메달</v>
      </c>
      <c r="C250" s="19" t="str">
        <f aca="false">장비_기본!D35</f>
        <v>매지션</v>
      </c>
      <c r="D250" s="8" t="s">
        <v>48</v>
      </c>
      <c r="E250" s="19" t="str">
        <f aca="false">장비_기본!F35</f>
        <v>스킬 피해</v>
      </c>
      <c r="F250" s="21" t="n">
        <f aca="false">장비_기본!G35*INDEX(등급!$C$5:$C$12,MATCH($D250,등급!$A$5:$A$12,0))</f>
        <v>0.122</v>
      </c>
      <c r="G250" s="19" t="str">
        <f aca="false">장비_기본!H35</f>
        <v>① 스킬 위력</v>
      </c>
      <c r="H250" s="21" t="n">
        <f aca="false">장비_기본!I35*INDEX(등급!$C$5:$C$12,MATCH($D250,등급!$A$5:$A$12,0))</f>
        <v>0.305</v>
      </c>
      <c r="I250" s="13" t="s">
        <v>78</v>
      </c>
      <c r="J250" s="12"/>
      <c r="K250" s="19" t="n">
        <f aca="false">INDEX(등급!$D$5:$D$12,MATCH($D250,등급!$A$5:$A$12,0))</f>
        <v>4</v>
      </c>
      <c r="L250" s="19" t="str">
        <f aca="false">IF(INDEX(등급!$H$5:$H$12,MATCH($D250,등급!$A$5:$A$12,0))=0,"-",IF(INDEX(등급!$G$5:$G$12,MATCH($D250,등급!$A$5:$A$12,0))=INDEX(등급!$H$5:$H$12,MATCH($D250,등급!$A$5:$A$12,0)),INDEX(등급!$G$5:$G$12,MATCH($D250,등급!$A$5:$A$12,0))&amp;"칸",INDEX(등급!$G$5:$G$12,MATCH($D250,등급!$A$5:$A$12,0))&amp;"~"&amp;INDEX(등급!$H$5:$H$12,MATCH($D250,등급!$A$5:$A$12,0))&amp;"칸"))</f>
        <v>-</v>
      </c>
      <c r="M250" s="19" t="str">
        <f aca="false">IF(INDEX(등급!$J$5:$J$12,MATCH($D250,등급!$A$5:$A$12,0))=0,"-",IF(INDEX(등급!$I$5:$I$12,MATCH($D250,등급!$A$5:$A$12,0))=INDEX(등급!$J$5:$J$12,MATCH($D250,등급!$A$5:$A$12,0)),INDEX(등급!$I$5:$I$12,MATCH($D250,등급!$A$5:$A$12,0))&amp;"개",INDEX(등급!$I$5:$I$12,MATCH($D250,등급!$A$5:$A$12,0))&amp;"~"&amp;INDEX(등급!$J$5:$J$12,MATCH($D250,등급!$A$5:$A$12,0))&amp;"개"))</f>
        <v>-</v>
      </c>
      <c r="N250" s="19" t="str">
        <f aca="false">IF(INDEX(등급!$L$5:$L$12,MATCH($D250,등급!$A$5:$A$12,0))=0,"-",INDEX(등급!$K$5:$K$12,MATCH($D250,등급!$A$5:$A$12,0))&amp;"~"&amp;INDEX(등급!$L$5:$L$12,MATCH($D250,등급!$A$5:$A$12,0))&amp;"개")</f>
        <v>-</v>
      </c>
    </row>
    <row r="251" customFormat="false" ht="15" hidden="false" customHeight="false" outlineLevel="0" collapsed="false">
      <c r="A251" s="19" t="str">
        <f aca="false">장비_기본!B35</f>
        <v>대마도사의 소울 메달</v>
      </c>
      <c r="B251" s="19" t="str">
        <f aca="false">장비_기본!C35</f>
        <v>소울 메달</v>
      </c>
      <c r="C251" s="19" t="str">
        <f aca="false">장비_기본!D35</f>
        <v>매지션</v>
      </c>
      <c r="D251" s="8" t="s">
        <v>49</v>
      </c>
      <c r="E251" s="19" t="str">
        <f aca="false">장비_기본!F35</f>
        <v>스킬 피해</v>
      </c>
      <c r="F251" s="21" t="n">
        <f aca="false">장비_기본!G35*INDEX(등급!$C$5:$C$12,MATCH($D251,등급!$A$5:$A$12,0))</f>
        <v>0.128</v>
      </c>
      <c r="G251" s="19" t="str">
        <f aca="false">장비_기본!H35</f>
        <v>① 스킬 위력</v>
      </c>
      <c r="H251" s="21" t="n">
        <f aca="false">장비_기본!I35*INDEX(등급!$C$5:$C$12,MATCH($D251,등급!$A$5:$A$12,0))</f>
        <v>0.32</v>
      </c>
      <c r="I251" s="13" t="s">
        <v>78</v>
      </c>
      <c r="J251" s="12"/>
      <c r="K251" s="19" t="n">
        <f aca="false">INDEX(등급!$D$5:$D$12,MATCH($D251,등급!$A$5:$A$12,0))</f>
        <v>4</v>
      </c>
      <c r="L251" s="19" t="str">
        <f aca="false">IF(INDEX(등급!$H$5:$H$12,MATCH($D251,등급!$A$5:$A$12,0))=0,"-",IF(INDEX(등급!$G$5:$G$12,MATCH($D251,등급!$A$5:$A$12,0))=INDEX(등급!$H$5:$H$12,MATCH($D251,등급!$A$5:$A$12,0)),INDEX(등급!$G$5:$G$12,MATCH($D251,등급!$A$5:$A$12,0))&amp;"칸",INDEX(등급!$G$5:$G$12,MATCH($D251,등급!$A$5:$A$12,0))&amp;"~"&amp;INDEX(등급!$H$5:$H$12,MATCH($D251,등급!$A$5:$A$12,0))&amp;"칸"))</f>
        <v>1칸</v>
      </c>
      <c r="M251" s="19" t="str">
        <f aca="false">IF(INDEX(등급!$J$5:$J$12,MATCH($D251,등급!$A$5:$A$12,0))=0,"-",IF(INDEX(등급!$I$5:$I$12,MATCH($D251,등급!$A$5:$A$12,0))=INDEX(등급!$J$5:$J$12,MATCH($D251,등급!$A$5:$A$12,0)),INDEX(등급!$I$5:$I$12,MATCH($D251,등급!$A$5:$A$12,0))&amp;"개",INDEX(등급!$I$5:$I$12,MATCH($D251,등급!$A$5:$A$12,0))&amp;"~"&amp;INDEX(등급!$J$5:$J$12,MATCH($D251,등급!$A$5:$A$12,0))&amp;"개"))</f>
        <v>0~1개</v>
      </c>
      <c r="N251" s="19" t="str">
        <f aca="false">IF(INDEX(등급!$L$5:$L$12,MATCH($D251,등급!$A$5:$A$12,0))=0,"-",INDEX(등급!$K$5:$K$12,MATCH($D251,등급!$A$5:$A$12,0))&amp;"~"&amp;INDEX(등급!$L$5:$L$12,MATCH($D251,등급!$A$5:$A$12,0))&amp;"개")</f>
        <v>0~1개</v>
      </c>
    </row>
    <row r="252" customFormat="false" ht="15" hidden="false" customHeight="false" outlineLevel="0" collapsed="false">
      <c r="A252" s="19" t="str">
        <f aca="false">장비_기본!B35</f>
        <v>대마도사의 소울 메달</v>
      </c>
      <c r="B252" s="19" t="str">
        <f aca="false">장비_기본!C35</f>
        <v>소울 메달</v>
      </c>
      <c r="C252" s="19" t="str">
        <f aca="false">장비_기본!D35</f>
        <v>매지션</v>
      </c>
      <c r="D252" s="8" t="s">
        <v>51</v>
      </c>
      <c r="E252" s="19" t="str">
        <f aca="false">장비_기본!F35</f>
        <v>스킬 피해</v>
      </c>
      <c r="F252" s="21" t="n">
        <f aca="false">장비_기본!G35*INDEX(등급!$C$5:$C$12,MATCH($D252,등급!$A$5:$A$12,0))</f>
        <v>0.132</v>
      </c>
      <c r="G252" s="19" t="str">
        <f aca="false">장비_기본!H35</f>
        <v>① 스킬 위력</v>
      </c>
      <c r="H252" s="21" t="n">
        <f aca="false">장비_기본!I35*INDEX(등급!$C$5:$C$12,MATCH($D252,등급!$A$5:$A$12,0))</f>
        <v>0.33</v>
      </c>
      <c r="I252" s="13" t="s">
        <v>78</v>
      </c>
      <c r="J252" s="12"/>
      <c r="K252" s="19" t="n">
        <f aca="false">INDEX(등급!$D$5:$D$12,MATCH($D252,등급!$A$5:$A$12,0))</f>
        <v>4</v>
      </c>
      <c r="L252" s="19" t="str">
        <f aca="false">IF(INDEX(등급!$H$5:$H$12,MATCH($D252,등급!$A$5:$A$12,0))=0,"-",IF(INDEX(등급!$G$5:$G$12,MATCH($D252,등급!$A$5:$A$12,0))=INDEX(등급!$H$5:$H$12,MATCH($D252,등급!$A$5:$A$12,0)),INDEX(등급!$G$5:$G$12,MATCH($D252,등급!$A$5:$A$12,0))&amp;"칸",INDEX(등급!$G$5:$G$12,MATCH($D252,등급!$A$5:$A$12,0))&amp;"~"&amp;INDEX(등급!$H$5:$H$12,MATCH($D252,등급!$A$5:$A$12,0))&amp;"칸"))</f>
        <v>1~3칸</v>
      </c>
      <c r="M252" s="19" t="str">
        <f aca="false">IF(INDEX(등급!$J$5:$J$12,MATCH($D252,등급!$A$5:$A$12,0))=0,"-",IF(INDEX(등급!$I$5:$I$12,MATCH($D252,등급!$A$5:$A$12,0))=INDEX(등급!$J$5:$J$12,MATCH($D252,등급!$A$5:$A$12,0)),INDEX(등급!$I$5:$I$12,MATCH($D252,등급!$A$5:$A$12,0))&amp;"개",INDEX(등급!$I$5:$I$12,MATCH($D252,등급!$A$5:$A$12,0))&amp;"~"&amp;INDEX(등급!$J$5:$J$12,MATCH($D252,등급!$A$5:$A$12,0))&amp;"개"))</f>
        <v>1개</v>
      </c>
      <c r="N252" s="19" t="str">
        <f aca="false">IF(INDEX(등급!$L$5:$L$12,MATCH($D252,등급!$A$5:$A$12,0))=0,"-",INDEX(등급!$K$5:$K$12,MATCH($D252,등급!$A$5:$A$12,0))&amp;"~"&amp;INDEX(등급!$L$5:$L$12,MATCH($D252,등급!$A$5:$A$12,0))&amp;"개")</f>
        <v>0~2개</v>
      </c>
    </row>
    <row r="253" customFormat="false" ht="15" hidden="false" customHeight="false" outlineLevel="0" collapsed="false">
      <c r="A253" s="19" t="str">
        <f aca="false">장비_기본!B36</f>
        <v>별의 소울 메달</v>
      </c>
      <c r="B253" s="19" t="str">
        <f aca="false">장비_기본!C36</f>
        <v>소울 메달</v>
      </c>
      <c r="C253" s="19" t="str">
        <f aca="false">장비_기본!D36</f>
        <v>매지션</v>
      </c>
      <c r="D253" s="8" t="s">
        <v>43</v>
      </c>
      <c r="E253" s="19" t="str">
        <f aca="false">장비_기본!F36</f>
        <v>스킬 피해</v>
      </c>
      <c r="F253" s="21" t="n">
        <f aca="false">장비_기본!G36*INDEX(등급!$C$5:$C$12,MATCH($D253,등급!$A$5:$A$12,0))</f>
        <v>0.04</v>
      </c>
      <c r="G253" s="19" t="str">
        <f aca="false">장비_기본!H36</f>
        <v>② 스킬 위력</v>
      </c>
      <c r="H253" s="21" t="n">
        <f aca="false">장비_기본!I36*INDEX(등급!$C$5:$C$12,MATCH($D253,등급!$A$5:$A$12,0))</f>
        <v>0.1</v>
      </c>
      <c r="I253" s="13" t="s">
        <v>78</v>
      </c>
      <c r="J253" s="12"/>
      <c r="K253" s="19" t="n">
        <f aca="false">INDEX(등급!$D$5:$D$12,MATCH($D253,등급!$A$5:$A$12,0))</f>
        <v>0</v>
      </c>
      <c r="L253" s="19" t="str">
        <f aca="false">IF(INDEX(등급!$H$5:$H$12,MATCH($D253,등급!$A$5:$A$12,0))=0,"-",IF(INDEX(등급!$G$5:$G$12,MATCH($D253,등급!$A$5:$A$12,0))=INDEX(등급!$H$5:$H$12,MATCH($D253,등급!$A$5:$A$12,0)),INDEX(등급!$G$5:$G$12,MATCH($D253,등급!$A$5:$A$12,0))&amp;"칸",INDEX(등급!$G$5:$G$12,MATCH($D253,등급!$A$5:$A$12,0))&amp;"~"&amp;INDEX(등급!$H$5:$H$12,MATCH($D253,등급!$A$5:$A$12,0))&amp;"칸"))</f>
        <v>-</v>
      </c>
      <c r="M253" s="19" t="str">
        <f aca="false">IF(INDEX(등급!$J$5:$J$12,MATCH($D253,등급!$A$5:$A$12,0))=0,"-",IF(INDEX(등급!$I$5:$I$12,MATCH($D253,등급!$A$5:$A$12,0))=INDEX(등급!$J$5:$J$12,MATCH($D253,등급!$A$5:$A$12,0)),INDEX(등급!$I$5:$I$12,MATCH($D253,등급!$A$5:$A$12,0))&amp;"개",INDEX(등급!$I$5:$I$12,MATCH($D253,등급!$A$5:$A$12,0))&amp;"~"&amp;INDEX(등급!$J$5:$J$12,MATCH($D253,등급!$A$5:$A$12,0))&amp;"개"))</f>
        <v>-</v>
      </c>
      <c r="N253" s="19" t="str">
        <f aca="false">IF(INDEX(등급!$L$5:$L$12,MATCH($D253,등급!$A$5:$A$12,0))=0,"-",INDEX(등급!$K$5:$K$12,MATCH($D253,등급!$A$5:$A$12,0))&amp;"~"&amp;INDEX(등급!$L$5:$L$12,MATCH($D253,등급!$A$5:$A$12,0))&amp;"개")</f>
        <v>-</v>
      </c>
    </row>
    <row r="254" customFormat="false" ht="15" hidden="false" customHeight="false" outlineLevel="0" collapsed="false">
      <c r="A254" s="19" t="str">
        <f aca="false">장비_기본!B36</f>
        <v>별의 소울 메달</v>
      </c>
      <c r="B254" s="19" t="str">
        <f aca="false">장비_기본!C36</f>
        <v>소울 메달</v>
      </c>
      <c r="C254" s="19" t="str">
        <f aca="false">장비_기본!D36</f>
        <v>매지션</v>
      </c>
      <c r="D254" s="8" t="s">
        <v>44</v>
      </c>
      <c r="E254" s="19" t="str">
        <f aca="false">장비_기본!F36</f>
        <v>스킬 피해</v>
      </c>
      <c r="F254" s="21" t="n">
        <f aca="false">장비_기본!G36*INDEX(등급!$C$5:$C$12,MATCH($D254,등급!$A$5:$A$12,0))</f>
        <v>0.058</v>
      </c>
      <c r="G254" s="19" t="str">
        <f aca="false">장비_기본!H36</f>
        <v>② 스킬 위력</v>
      </c>
      <c r="H254" s="21" t="n">
        <f aca="false">장비_기본!I36*INDEX(등급!$C$5:$C$12,MATCH($D254,등급!$A$5:$A$12,0))</f>
        <v>0.145</v>
      </c>
      <c r="I254" s="13" t="s">
        <v>78</v>
      </c>
      <c r="J254" s="12"/>
      <c r="K254" s="19" t="n">
        <f aca="false">INDEX(등급!$D$5:$D$12,MATCH($D254,등급!$A$5:$A$12,0))</f>
        <v>0</v>
      </c>
      <c r="L254" s="19" t="str">
        <f aca="false">IF(INDEX(등급!$H$5:$H$12,MATCH($D254,등급!$A$5:$A$12,0))=0,"-",IF(INDEX(등급!$G$5:$G$12,MATCH($D254,등급!$A$5:$A$12,0))=INDEX(등급!$H$5:$H$12,MATCH($D254,등급!$A$5:$A$12,0)),INDEX(등급!$G$5:$G$12,MATCH($D254,등급!$A$5:$A$12,0))&amp;"칸",INDEX(등급!$G$5:$G$12,MATCH($D254,등급!$A$5:$A$12,0))&amp;"~"&amp;INDEX(등급!$H$5:$H$12,MATCH($D254,등급!$A$5:$A$12,0))&amp;"칸"))</f>
        <v>-</v>
      </c>
      <c r="M254" s="19" t="str">
        <f aca="false">IF(INDEX(등급!$J$5:$J$12,MATCH($D254,등급!$A$5:$A$12,0))=0,"-",IF(INDEX(등급!$I$5:$I$12,MATCH($D254,등급!$A$5:$A$12,0))=INDEX(등급!$J$5:$J$12,MATCH($D254,등급!$A$5:$A$12,0)),INDEX(등급!$I$5:$I$12,MATCH($D254,등급!$A$5:$A$12,0))&amp;"개",INDEX(등급!$I$5:$I$12,MATCH($D254,등급!$A$5:$A$12,0))&amp;"~"&amp;INDEX(등급!$J$5:$J$12,MATCH($D254,등급!$A$5:$A$12,0))&amp;"개"))</f>
        <v>-</v>
      </c>
      <c r="N254" s="19" t="str">
        <f aca="false">IF(INDEX(등급!$L$5:$L$12,MATCH($D254,등급!$A$5:$A$12,0))=0,"-",INDEX(등급!$K$5:$K$12,MATCH($D254,등급!$A$5:$A$12,0))&amp;"~"&amp;INDEX(등급!$L$5:$L$12,MATCH($D254,등급!$A$5:$A$12,0))&amp;"개")</f>
        <v>-</v>
      </c>
    </row>
    <row r="255" customFormat="false" ht="15" hidden="false" customHeight="false" outlineLevel="0" collapsed="false">
      <c r="A255" s="19" t="str">
        <f aca="false">장비_기본!B36</f>
        <v>별의 소울 메달</v>
      </c>
      <c r="B255" s="19" t="str">
        <f aca="false">장비_기본!C36</f>
        <v>소울 메달</v>
      </c>
      <c r="C255" s="19" t="str">
        <f aca="false">장비_기본!D36</f>
        <v>매지션</v>
      </c>
      <c r="D255" s="8" t="s">
        <v>45</v>
      </c>
      <c r="E255" s="19" t="str">
        <f aca="false">장비_기본!F36</f>
        <v>스킬 피해</v>
      </c>
      <c r="F255" s="21" t="n">
        <f aca="false">장비_기본!G36*INDEX(등급!$C$5:$C$12,MATCH($D255,등급!$A$5:$A$12,0))</f>
        <v>0.068</v>
      </c>
      <c r="G255" s="19" t="str">
        <f aca="false">장비_기본!H36</f>
        <v>② 스킬 위력</v>
      </c>
      <c r="H255" s="21" t="n">
        <f aca="false">장비_기본!I36*INDEX(등급!$C$5:$C$12,MATCH($D255,등급!$A$5:$A$12,0))</f>
        <v>0.17</v>
      </c>
      <c r="I255" s="13" t="s">
        <v>78</v>
      </c>
      <c r="J255" s="12"/>
      <c r="K255" s="19" t="n">
        <f aca="false">INDEX(등급!$D$5:$D$12,MATCH($D255,등급!$A$5:$A$12,0))</f>
        <v>1</v>
      </c>
      <c r="L255" s="19" t="str">
        <f aca="false">IF(INDEX(등급!$H$5:$H$12,MATCH($D255,등급!$A$5:$A$12,0))=0,"-",IF(INDEX(등급!$G$5:$G$12,MATCH($D255,등급!$A$5:$A$12,0))=INDEX(등급!$H$5:$H$12,MATCH($D255,등급!$A$5:$A$12,0)),INDEX(등급!$G$5:$G$12,MATCH($D255,등급!$A$5:$A$12,0))&amp;"칸",INDEX(등급!$G$5:$G$12,MATCH($D255,등급!$A$5:$A$12,0))&amp;"~"&amp;INDEX(등급!$H$5:$H$12,MATCH($D255,등급!$A$5:$A$12,0))&amp;"칸"))</f>
        <v>-</v>
      </c>
      <c r="M255" s="19" t="str">
        <f aca="false">IF(INDEX(등급!$J$5:$J$12,MATCH($D255,등급!$A$5:$A$12,0))=0,"-",IF(INDEX(등급!$I$5:$I$12,MATCH($D255,등급!$A$5:$A$12,0))=INDEX(등급!$J$5:$J$12,MATCH($D255,등급!$A$5:$A$12,0)),INDEX(등급!$I$5:$I$12,MATCH($D255,등급!$A$5:$A$12,0))&amp;"개",INDEX(등급!$I$5:$I$12,MATCH($D255,등급!$A$5:$A$12,0))&amp;"~"&amp;INDEX(등급!$J$5:$J$12,MATCH($D255,등급!$A$5:$A$12,0))&amp;"개"))</f>
        <v>-</v>
      </c>
      <c r="N255" s="19" t="str">
        <f aca="false">IF(INDEX(등급!$L$5:$L$12,MATCH($D255,등급!$A$5:$A$12,0))=0,"-",INDEX(등급!$K$5:$K$12,MATCH($D255,등급!$A$5:$A$12,0))&amp;"~"&amp;INDEX(등급!$L$5:$L$12,MATCH($D255,등급!$A$5:$A$12,0))&amp;"개")</f>
        <v>-</v>
      </c>
    </row>
    <row r="256" customFormat="false" ht="15" hidden="false" customHeight="false" outlineLevel="0" collapsed="false">
      <c r="A256" s="19" t="str">
        <f aca="false">장비_기본!B36</f>
        <v>별의 소울 메달</v>
      </c>
      <c r="B256" s="19" t="str">
        <f aca="false">장비_기본!C36</f>
        <v>소울 메달</v>
      </c>
      <c r="C256" s="19" t="str">
        <f aca="false">장비_기본!D36</f>
        <v>매지션</v>
      </c>
      <c r="D256" s="8" t="s">
        <v>46</v>
      </c>
      <c r="E256" s="19" t="str">
        <f aca="false">장비_기본!F36</f>
        <v>스킬 피해</v>
      </c>
      <c r="F256" s="21" t="n">
        <f aca="false">장비_기본!G36*INDEX(등급!$C$5:$C$12,MATCH($D256,등급!$A$5:$A$12,0))</f>
        <v>0.084</v>
      </c>
      <c r="G256" s="19" t="str">
        <f aca="false">장비_기본!H36</f>
        <v>② 스킬 위력</v>
      </c>
      <c r="H256" s="21" t="n">
        <f aca="false">장비_기본!I36*INDEX(등급!$C$5:$C$12,MATCH($D256,등급!$A$5:$A$12,0))</f>
        <v>0.21</v>
      </c>
      <c r="I256" s="13" t="s">
        <v>78</v>
      </c>
      <c r="J256" s="12"/>
      <c r="K256" s="19" t="n">
        <f aca="false">INDEX(등급!$D$5:$D$12,MATCH($D256,등급!$A$5:$A$12,0))</f>
        <v>2</v>
      </c>
      <c r="L256" s="19" t="str">
        <f aca="false">IF(INDEX(등급!$H$5:$H$12,MATCH($D256,등급!$A$5:$A$12,0))=0,"-",IF(INDEX(등급!$G$5:$G$12,MATCH($D256,등급!$A$5:$A$12,0))=INDEX(등급!$H$5:$H$12,MATCH($D256,등급!$A$5:$A$12,0)),INDEX(등급!$G$5:$G$12,MATCH($D256,등급!$A$5:$A$12,0))&amp;"칸",INDEX(등급!$G$5:$G$12,MATCH($D256,등급!$A$5:$A$12,0))&amp;"~"&amp;INDEX(등급!$H$5:$H$12,MATCH($D256,등급!$A$5:$A$12,0))&amp;"칸"))</f>
        <v>-</v>
      </c>
      <c r="M256" s="19" t="str">
        <f aca="false">IF(INDEX(등급!$J$5:$J$12,MATCH($D256,등급!$A$5:$A$12,0))=0,"-",IF(INDEX(등급!$I$5:$I$12,MATCH($D256,등급!$A$5:$A$12,0))=INDEX(등급!$J$5:$J$12,MATCH($D256,등급!$A$5:$A$12,0)),INDEX(등급!$I$5:$I$12,MATCH($D256,등급!$A$5:$A$12,0))&amp;"개",INDEX(등급!$I$5:$I$12,MATCH($D256,등급!$A$5:$A$12,0))&amp;"~"&amp;INDEX(등급!$J$5:$J$12,MATCH($D256,등급!$A$5:$A$12,0))&amp;"개"))</f>
        <v>-</v>
      </c>
      <c r="N256" s="19" t="str">
        <f aca="false">IF(INDEX(등급!$L$5:$L$12,MATCH($D256,등급!$A$5:$A$12,0))=0,"-",INDEX(등급!$K$5:$K$12,MATCH($D256,등급!$A$5:$A$12,0))&amp;"~"&amp;INDEX(등급!$L$5:$L$12,MATCH($D256,등급!$A$5:$A$12,0))&amp;"개")</f>
        <v>-</v>
      </c>
    </row>
    <row r="257" customFormat="false" ht="15" hidden="false" customHeight="false" outlineLevel="0" collapsed="false">
      <c r="A257" s="19" t="str">
        <f aca="false">장비_기본!B36</f>
        <v>별의 소울 메달</v>
      </c>
      <c r="B257" s="19" t="str">
        <f aca="false">장비_기본!C36</f>
        <v>소울 메달</v>
      </c>
      <c r="C257" s="19" t="str">
        <f aca="false">장비_기본!D36</f>
        <v>매지션</v>
      </c>
      <c r="D257" s="8" t="s">
        <v>47</v>
      </c>
      <c r="E257" s="19" t="str">
        <f aca="false">장비_기본!F36</f>
        <v>스킬 피해</v>
      </c>
      <c r="F257" s="21" t="n">
        <f aca="false">장비_기본!G36*INDEX(등급!$C$5:$C$12,MATCH($D257,등급!$A$5:$A$12,0))</f>
        <v>0.102</v>
      </c>
      <c r="G257" s="19" t="str">
        <f aca="false">장비_기본!H36</f>
        <v>② 스킬 위력</v>
      </c>
      <c r="H257" s="21" t="n">
        <f aca="false">장비_기본!I36*INDEX(등급!$C$5:$C$12,MATCH($D257,등급!$A$5:$A$12,0))</f>
        <v>0.255</v>
      </c>
      <c r="I257" s="13" t="s">
        <v>78</v>
      </c>
      <c r="J257" s="12"/>
      <c r="K257" s="19" t="n">
        <f aca="false">INDEX(등급!$D$5:$D$12,MATCH($D257,등급!$A$5:$A$12,0))</f>
        <v>3</v>
      </c>
      <c r="L257" s="19" t="str">
        <f aca="false">IF(INDEX(등급!$H$5:$H$12,MATCH($D257,등급!$A$5:$A$12,0))=0,"-",IF(INDEX(등급!$G$5:$G$12,MATCH($D257,등급!$A$5:$A$12,0))=INDEX(등급!$H$5:$H$12,MATCH($D257,등급!$A$5:$A$12,0)),INDEX(등급!$G$5:$G$12,MATCH($D257,등급!$A$5:$A$12,0))&amp;"칸",INDEX(등급!$G$5:$G$12,MATCH($D257,등급!$A$5:$A$12,0))&amp;"~"&amp;INDEX(등급!$H$5:$H$12,MATCH($D257,등급!$A$5:$A$12,0))&amp;"칸"))</f>
        <v>-</v>
      </c>
      <c r="M257" s="19" t="str">
        <f aca="false">IF(INDEX(등급!$J$5:$J$12,MATCH($D257,등급!$A$5:$A$12,0))=0,"-",IF(INDEX(등급!$I$5:$I$12,MATCH($D257,등급!$A$5:$A$12,0))=INDEX(등급!$J$5:$J$12,MATCH($D257,등급!$A$5:$A$12,0)),INDEX(등급!$I$5:$I$12,MATCH($D257,등급!$A$5:$A$12,0))&amp;"개",INDEX(등급!$I$5:$I$12,MATCH($D257,등급!$A$5:$A$12,0))&amp;"~"&amp;INDEX(등급!$J$5:$J$12,MATCH($D257,등급!$A$5:$A$12,0))&amp;"개"))</f>
        <v>-</v>
      </c>
      <c r="N257" s="19" t="str">
        <f aca="false">IF(INDEX(등급!$L$5:$L$12,MATCH($D257,등급!$A$5:$A$12,0))=0,"-",INDEX(등급!$K$5:$K$12,MATCH($D257,등급!$A$5:$A$12,0))&amp;"~"&amp;INDEX(등급!$L$5:$L$12,MATCH($D257,등급!$A$5:$A$12,0))&amp;"개")</f>
        <v>-</v>
      </c>
    </row>
    <row r="258" customFormat="false" ht="15" hidden="false" customHeight="false" outlineLevel="0" collapsed="false">
      <c r="A258" s="19" t="str">
        <f aca="false">장비_기본!B36</f>
        <v>별의 소울 메달</v>
      </c>
      <c r="B258" s="19" t="str">
        <f aca="false">장비_기본!C36</f>
        <v>소울 메달</v>
      </c>
      <c r="C258" s="19" t="str">
        <f aca="false">장비_기본!D36</f>
        <v>매지션</v>
      </c>
      <c r="D258" s="8" t="s">
        <v>48</v>
      </c>
      <c r="E258" s="19" t="str">
        <f aca="false">장비_기본!F36</f>
        <v>스킬 피해</v>
      </c>
      <c r="F258" s="21" t="n">
        <f aca="false">장비_기본!G36*INDEX(등급!$C$5:$C$12,MATCH($D258,등급!$A$5:$A$12,0))</f>
        <v>0.122</v>
      </c>
      <c r="G258" s="19" t="str">
        <f aca="false">장비_기본!H36</f>
        <v>② 스킬 위력</v>
      </c>
      <c r="H258" s="21" t="n">
        <f aca="false">장비_기본!I36*INDEX(등급!$C$5:$C$12,MATCH($D258,등급!$A$5:$A$12,0))</f>
        <v>0.305</v>
      </c>
      <c r="I258" s="13" t="s">
        <v>78</v>
      </c>
      <c r="J258" s="12"/>
      <c r="K258" s="19" t="n">
        <f aca="false">INDEX(등급!$D$5:$D$12,MATCH($D258,등급!$A$5:$A$12,0))</f>
        <v>4</v>
      </c>
      <c r="L258" s="19" t="str">
        <f aca="false">IF(INDEX(등급!$H$5:$H$12,MATCH($D258,등급!$A$5:$A$12,0))=0,"-",IF(INDEX(등급!$G$5:$G$12,MATCH($D258,등급!$A$5:$A$12,0))=INDEX(등급!$H$5:$H$12,MATCH($D258,등급!$A$5:$A$12,0)),INDEX(등급!$G$5:$G$12,MATCH($D258,등급!$A$5:$A$12,0))&amp;"칸",INDEX(등급!$G$5:$G$12,MATCH($D258,등급!$A$5:$A$12,0))&amp;"~"&amp;INDEX(등급!$H$5:$H$12,MATCH($D258,등급!$A$5:$A$12,0))&amp;"칸"))</f>
        <v>-</v>
      </c>
      <c r="M258" s="19" t="str">
        <f aca="false">IF(INDEX(등급!$J$5:$J$12,MATCH($D258,등급!$A$5:$A$12,0))=0,"-",IF(INDEX(등급!$I$5:$I$12,MATCH($D258,등급!$A$5:$A$12,0))=INDEX(등급!$J$5:$J$12,MATCH($D258,등급!$A$5:$A$12,0)),INDEX(등급!$I$5:$I$12,MATCH($D258,등급!$A$5:$A$12,0))&amp;"개",INDEX(등급!$I$5:$I$12,MATCH($D258,등급!$A$5:$A$12,0))&amp;"~"&amp;INDEX(등급!$J$5:$J$12,MATCH($D258,등급!$A$5:$A$12,0))&amp;"개"))</f>
        <v>-</v>
      </c>
      <c r="N258" s="19" t="str">
        <f aca="false">IF(INDEX(등급!$L$5:$L$12,MATCH($D258,등급!$A$5:$A$12,0))=0,"-",INDEX(등급!$K$5:$K$12,MATCH($D258,등급!$A$5:$A$12,0))&amp;"~"&amp;INDEX(등급!$L$5:$L$12,MATCH($D258,등급!$A$5:$A$12,0))&amp;"개")</f>
        <v>-</v>
      </c>
    </row>
    <row r="259" customFormat="false" ht="15" hidden="false" customHeight="false" outlineLevel="0" collapsed="false">
      <c r="A259" s="19" t="str">
        <f aca="false">장비_기본!B36</f>
        <v>별의 소울 메달</v>
      </c>
      <c r="B259" s="19" t="str">
        <f aca="false">장비_기본!C36</f>
        <v>소울 메달</v>
      </c>
      <c r="C259" s="19" t="str">
        <f aca="false">장비_기본!D36</f>
        <v>매지션</v>
      </c>
      <c r="D259" s="8" t="s">
        <v>49</v>
      </c>
      <c r="E259" s="19" t="str">
        <f aca="false">장비_기본!F36</f>
        <v>스킬 피해</v>
      </c>
      <c r="F259" s="21" t="n">
        <f aca="false">장비_기본!G36*INDEX(등급!$C$5:$C$12,MATCH($D259,등급!$A$5:$A$12,0))</f>
        <v>0.128</v>
      </c>
      <c r="G259" s="19" t="str">
        <f aca="false">장비_기본!H36</f>
        <v>② 스킬 위력</v>
      </c>
      <c r="H259" s="21" t="n">
        <f aca="false">장비_기본!I36*INDEX(등급!$C$5:$C$12,MATCH($D259,등급!$A$5:$A$12,0))</f>
        <v>0.32</v>
      </c>
      <c r="I259" s="13" t="s">
        <v>78</v>
      </c>
      <c r="J259" s="12"/>
      <c r="K259" s="19" t="n">
        <f aca="false">INDEX(등급!$D$5:$D$12,MATCH($D259,등급!$A$5:$A$12,0))</f>
        <v>4</v>
      </c>
      <c r="L259" s="19" t="str">
        <f aca="false">IF(INDEX(등급!$H$5:$H$12,MATCH($D259,등급!$A$5:$A$12,0))=0,"-",IF(INDEX(등급!$G$5:$G$12,MATCH($D259,등급!$A$5:$A$12,0))=INDEX(등급!$H$5:$H$12,MATCH($D259,등급!$A$5:$A$12,0)),INDEX(등급!$G$5:$G$12,MATCH($D259,등급!$A$5:$A$12,0))&amp;"칸",INDEX(등급!$G$5:$G$12,MATCH($D259,등급!$A$5:$A$12,0))&amp;"~"&amp;INDEX(등급!$H$5:$H$12,MATCH($D259,등급!$A$5:$A$12,0))&amp;"칸"))</f>
        <v>1칸</v>
      </c>
      <c r="M259" s="19" t="str">
        <f aca="false">IF(INDEX(등급!$J$5:$J$12,MATCH($D259,등급!$A$5:$A$12,0))=0,"-",IF(INDEX(등급!$I$5:$I$12,MATCH($D259,등급!$A$5:$A$12,0))=INDEX(등급!$J$5:$J$12,MATCH($D259,등급!$A$5:$A$12,0)),INDEX(등급!$I$5:$I$12,MATCH($D259,등급!$A$5:$A$12,0))&amp;"개",INDEX(등급!$I$5:$I$12,MATCH($D259,등급!$A$5:$A$12,0))&amp;"~"&amp;INDEX(등급!$J$5:$J$12,MATCH($D259,등급!$A$5:$A$12,0))&amp;"개"))</f>
        <v>0~1개</v>
      </c>
      <c r="N259" s="19" t="str">
        <f aca="false">IF(INDEX(등급!$L$5:$L$12,MATCH($D259,등급!$A$5:$A$12,0))=0,"-",INDEX(등급!$K$5:$K$12,MATCH($D259,등급!$A$5:$A$12,0))&amp;"~"&amp;INDEX(등급!$L$5:$L$12,MATCH($D259,등급!$A$5:$A$12,0))&amp;"개")</f>
        <v>0~1개</v>
      </c>
    </row>
    <row r="260" customFormat="false" ht="15" hidden="false" customHeight="false" outlineLevel="0" collapsed="false">
      <c r="A260" s="19" t="str">
        <f aca="false">장비_기본!B36</f>
        <v>별의 소울 메달</v>
      </c>
      <c r="B260" s="19" t="str">
        <f aca="false">장비_기본!C36</f>
        <v>소울 메달</v>
      </c>
      <c r="C260" s="19" t="str">
        <f aca="false">장비_기본!D36</f>
        <v>매지션</v>
      </c>
      <c r="D260" s="8" t="s">
        <v>51</v>
      </c>
      <c r="E260" s="19" t="str">
        <f aca="false">장비_기본!F36</f>
        <v>스킬 피해</v>
      </c>
      <c r="F260" s="21" t="n">
        <f aca="false">장비_기본!G36*INDEX(등급!$C$5:$C$12,MATCH($D260,등급!$A$5:$A$12,0))</f>
        <v>0.132</v>
      </c>
      <c r="G260" s="19" t="str">
        <f aca="false">장비_기본!H36</f>
        <v>② 스킬 위력</v>
      </c>
      <c r="H260" s="21" t="n">
        <f aca="false">장비_기본!I36*INDEX(등급!$C$5:$C$12,MATCH($D260,등급!$A$5:$A$12,0))</f>
        <v>0.33</v>
      </c>
      <c r="I260" s="13" t="s">
        <v>78</v>
      </c>
      <c r="J260" s="12"/>
      <c r="K260" s="19" t="n">
        <f aca="false">INDEX(등급!$D$5:$D$12,MATCH($D260,등급!$A$5:$A$12,0))</f>
        <v>4</v>
      </c>
      <c r="L260" s="19" t="str">
        <f aca="false">IF(INDEX(등급!$H$5:$H$12,MATCH($D260,등급!$A$5:$A$12,0))=0,"-",IF(INDEX(등급!$G$5:$G$12,MATCH($D260,등급!$A$5:$A$12,0))=INDEX(등급!$H$5:$H$12,MATCH($D260,등급!$A$5:$A$12,0)),INDEX(등급!$G$5:$G$12,MATCH($D260,등급!$A$5:$A$12,0))&amp;"칸",INDEX(등급!$G$5:$G$12,MATCH($D260,등급!$A$5:$A$12,0))&amp;"~"&amp;INDEX(등급!$H$5:$H$12,MATCH($D260,등급!$A$5:$A$12,0))&amp;"칸"))</f>
        <v>1~3칸</v>
      </c>
      <c r="M260" s="19" t="str">
        <f aca="false">IF(INDEX(등급!$J$5:$J$12,MATCH($D260,등급!$A$5:$A$12,0))=0,"-",IF(INDEX(등급!$I$5:$I$12,MATCH($D260,등급!$A$5:$A$12,0))=INDEX(등급!$J$5:$J$12,MATCH($D260,등급!$A$5:$A$12,0)),INDEX(등급!$I$5:$I$12,MATCH($D260,등급!$A$5:$A$12,0))&amp;"개",INDEX(등급!$I$5:$I$12,MATCH($D260,등급!$A$5:$A$12,0))&amp;"~"&amp;INDEX(등급!$J$5:$J$12,MATCH($D260,등급!$A$5:$A$12,0))&amp;"개"))</f>
        <v>1개</v>
      </c>
      <c r="N260" s="19" t="str">
        <f aca="false">IF(INDEX(등급!$L$5:$L$12,MATCH($D260,등급!$A$5:$A$12,0))=0,"-",INDEX(등급!$K$5:$K$12,MATCH($D260,등급!$A$5:$A$12,0))&amp;"~"&amp;INDEX(등급!$L$5:$L$12,MATCH($D260,등급!$A$5:$A$12,0))&amp;"개")</f>
        <v>0~2개</v>
      </c>
    </row>
    <row r="261" customFormat="false" ht="15" hidden="false" customHeight="false" outlineLevel="0" collapsed="false">
      <c r="A261" s="19" t="str">
        <f aca="false">장비_기본!B37</f>
        <v>생명의 지팡이</v>
      </c>
      <c r="B261" s="19" t="str">
        <f aca="false">장비_기본!C37</f>
        <v>무기</v>
      </c>
      <c r="C261" s="19" t="str">
        <f aca="false">장비_기본!D37</f>
        <v>서포터</v>
      </c>
      <c r="D261" s="8" t="s">
        <v>43</v>
      </c>
      <c r="E261" s="19" t="str">
        <f aca="false">장비_기본!F37</f>
        <v>공격력</v>
      </c>
      <c r="F261" s="20" t="n">
        <f aca="false">장비_기본!G37*INDEX(등급!$C$5:$C$12,MATCH($D261,등급!$A$5:$A$12,0))</f>
        <v>1.6</v>
      </c>
      <c r="G261" s="19" t="str">
        <f aca="false">장비_기본!H37</f>
        <v>회복량</v>
      </c>
      <c r="H261" s="21" t="n">
        <f aca="false">장비_기본!I37*INDEX(등급!$C$5:$C$12,MATCH($D261,등급!$A$5:$A$12,0))</f>
        <v>0.025</v>
      </c>
      <c r="I261" s="19" t="str">
        <f aca="false">장비_기본!J37</f>
        <v>① 치유 회복량 +[값]%</v>
      </c>
      <c r="J261" s="20" t="n">
        <f aca="false">ROUND(장비_기본!K37*INDEX(등급!$F$5:$F$12,MATCH($D261,등급!$A$5:$A$12,0)),1)</f>
        <v>8</v>
      </c>
      <c r="K261" s="19" t="n">
        <f aca="false">INDEX(등급!$D$5:$D$12,MATCH($D261,등급!$A$5:$A$12,0))</f>
        <v>0</v>
      </c>
      <c r="L261" s="19" t="str">
        <f aca="false">IF(INDEX(등급!$H$5:$H$12,MATCH($D261,등급!$A$5:$A$12,0))=0,"-",IF(INDEX(등급!$G$5:$G$12,MATCH($D261,등급!$A$5:$A$12,0))=INDEX(등급!$H$5:$H$12,MATCH($D261,등급!$A$5:$A$12,0)),INDEX(등급!$G$5:$G$12,MATCH($D261,등급!$A$5:$A$12,0))&amp;"칸",INDEX(등급!$G$5:$G$12,MATCH($D261,등급!$A$5:$A$12,0))&amp;"~"&amp;INDEX(등급!$H$5:$H$12,MATCH($D261,등급!$A$5:$A$12,0))&amp;"칸"))</f>
        <v>-</v>
      </c>
      <c r="M261" s="19" t="str">
        <f aca="false">IF(INDEX(등급!$J$5:$J$12,MATCH($D261,등급!$A$5:$A$12,0))=0,"-",IF(INDEX(등급!$I$5:$I$12,MATCH($D261,등급!$A$5:$A$12,0))=INDEX(등급!$J$5:$J$12,MATCH($D261,등급!$A$5:$A$12,0)),INDEX(등급!$I$5:$I$12,MATCH($D261,등급!$A$5:$A$12,0))&amp;"개",INDEX(등급!$I$5:$I$12,MATCH($D261,등급!$A$5:$A$12,0))&amp;"~"&amp;INDEX(등급!$J$5:$J$12,MATCH($D261,등급!$A$5:$A$12,0))&amp;"개"))</f>
        <v>-</v>
      </c>
      <c r="N261" s="19" t="str">
        <f aca="false">IF(INDEX(등급!$L$5:$L$12,MATCH($D261,등급!$A$5:$A$12,0))=0,"-",INDEX(등급!$K$5:$K$12,MATCH($D261,등급!$A$5:$A$12,0))&amp;"~"&amp;INDEX(등급!$L$5:$L$12,MATCH($D261,등급!$A$5:$A$12,0))&amp;"개")</f>
        <v>-</v>
      </c>
    </row>
    <row r="262" customFormat="false" ht="15" hidden="false" customHeight="false" outlineLevel="0" collapsed="false">
      <c r="A262" s="19" t="str">
        <f aca="false">장비_기본!B37</f>
        <v>생명의 지팡이</v>
      </c>
      <c r="B262" s="19" t="str">
        <f aca="false">장비_기본!C37</f>
        <v>무기</v>
      </c>
      <c r="C262" s="19" t="str">
        <f aca="false">장비_기본!D37</f>
        <v>서포터</v>
      </c>
      <c r="D262" s="8" t="s">
        <v>44</v>
      </c>
      <c r="E262" s="19" t="str">
        <f aca="false">장비_기본!F37</f>
        <v>공격력</v>
      </c>
      <c r="F262" s="20" t="n">
        <f aca="false">장비_기본!G37*INDEX(등급!$C$5:$C$12,MATCH($D262,등급!$A$5:$A$12,0))</f>
        <v>2.32</v>
      </c>
      <c r="G262" s="19" t="str">
        <f aca="false">장비_기본!H37</f>
        <v>회복량</v>
      </c>
      <c r="H262" s="21" t="n">
        <f aca="false">장비_기본!I37*INDEX(등급!$C$5:$C$12,MATCH($D262,등급!$A$5:$A$12,0))</f>
        <v>0.03625</v>
      </c>
      <c r="I262" s="19" t="str">
        <f aca="false">장비_기본!J37</f>
        <v>① 치유 회복량 +[값]%</v>
      </c>
      <c r="J262" s="20" t="n">
        <f aca="false">ROUND(장비_기본!K37*INDEX(등급!$F$5:$F$12,MATCH($D262,등급!$A$5:$A$12,0)),1)</f>
        <v>10.8</v>
      </c>
      <c r="K262" s="19" t="n">
        <f aca="false">INDEX(등급!$D$5:$D$12,MATCH($D262,등급!$A$5:$A$12,0))</f>
        <v>0</v>
      </c>
      <c r="L262" s="19" t="str">
        <f aca="false">IF(INDEX(등급!$H$5:$H$12,MATCH($D262,등급!$A$5:$A$12,0))=0,"-",IF(INDEX(등급!$G$5:$G$12,MATCH($D262,등급!$A$5:$A$12,0))=INDEX(등급!$H$5:$H$12,MATCH($D262,등급!$A$5:$A$12,0)),INDEX(등급!$G$5:$G$12,MATCH($D262,등급!$A$5:$A$12,0))&amp;"칸",INDEX(등급!$G$5:$G$12,MATCH($D262,등급!$A$5:$A$12,0))&amp;"~"&amp;INDEX(등급!$H$5:$H$12,MATCH($D262,등급!$A$5:$A$12,0))&amp;"칸"))</f>
        <v>-</v>
      </c>
      <c r="M262" s="19" t="str">
        <f aca="false">IF(INDEX(등급!$J$5:$J$12,MATCH($D262,등급!$A$5:$A$12,0))=0,"-",IF(INDEX(등급!$I$5:$I$12,MATCH($D262,등급!$A$5:$A$12,0))=INDEX(등급!$J$5:$J$12,MATCH($D262,등급!$A$5:$A$12,0)),INDEX(등급!$I$5:$I$12,MATCH($D262,등급!$A$5:$A$12,0))&amp;"개",INDEX(등급!$I$5:$I$12,MATCH($D262,등급!$A$5:$A$12,0))&amp;"~"&amp;INDEX(등급!$J$5:$J$12,MATCH($D262,등급!$A$5:$A$12,0))&amp;"개"))</f>
        <v>-</v>
      </c>
      <c r="N262" s="19" t="str">
        <f aca="false">IF(INDEX(등급!$L$5:$L$12,MATCH($D262,등급!$A$5:$A$12,0))=0,"-",INDEX(등급!$K$5:$K$12,MATCH($D262,등급!$A$5:$A$12,0))&amp;"~"&amp;INDEX(등급!$L$5:$L$12,MATCH($D262,등급!$A$5:$A$12,0))&amp;"개")</f>
        <v>-</v>
      </c>
    </row>
    <row r="263" customFormat="false" ht="15" hidden="false" customHeight="false" outlineLevel="0" collapsed="false">
      <c r="A263" s="19" t="str">
        <f aca="false">장비_기본!B37</f>
        <v>생명의 지팡이</v>
      </c>
      <c r="B263" s="19" t="str">
        <f aca="false">장비_기본!C37</f>
        <v>무기</v>
      </c>
      <c r="C263" s="19" t="str">
        <f aca="false">장비_기본!D37</f>
        <v>서포터</v>
      </c>
      <c r="D263" s="8" t="s">
        <v>45</v>
      </c>
      <c r="E263" s="19" t="str">
        <f aca="false">장비_기본!F37</f>
        <v>공격력</v>
      </c>
      <c r="F263" s="20" t="n">
        <f aca="false">장비_기본!G37*INDEX(등급!$C$5:$C$12,MATCH($D263,등급!$A$5:$A$12,0))</f>
        <v>2.72</v>
      </c>
      <c r="G263" s="19" t="str">
        <f aca="false">장비_기본!H37</f>
        <v>회복량</v>
      </c>
      <c r="H263" s="21" t="n">
        <f aca="false">장비_기본!I37*INDEX(등급!$C$5:$C$12,MATCH($D263,등급!$A$5:$A$12,0))</f>
        <v>0.0425</v>
      </c>
      <c r="I263" s="19" t="str">
        <f aca="false">장비_기본!J37</f>
        <v>① 치유 회복량 +[값]%</v>
      </c>
      <c r="J263" s="20" t="n">
        <f aca="false">ROUND(장비_기본!K37*INDEX(등급!$F$5:$F$12,MATCH($D263,등급!$A$5:$A$12,0)),1)</f>
        <v>12</v>
      </c>
      <c r="K263" s="19" t="n">
        <f aca="false">INDEX(등급!$D$5:$D$12,MATCH($D263,등급!$A$5:$A$12,0))</f>
        <v>1</v>
      </c>
      <c r="L263" s="19" t="str">
        <f aca="false">IF(INDEX(등급!$H$5:$H$12,MATCH($D263,등급!$A$5:$A$12,0))=0,"-",IF(INDEX(등급!$G$5:$G$12,MATCH($D263,등급!$A$5:$A$12,0))=INDEX(등급!$H$5:$H$12,MATCH($D263,등급!$A$5:$A$12,0)),INDEX(등급!$G$5:$G$12,MATCH($D263,등급!$A$5:$A$12,0))&amp;"칸",INDEX(등급!$G$5:$G$12,MATCH($D263,등급!$A$5:$A$12,0))&amp;"~"&amp;INDEX(등급!$H$5:$H$12,MATCH($D263,등급!$A$5:$A$12,0))&amp;"칸"))</f>
        <v>-</v>
      </c>
      <c r="M263" s="19" t="str">
        <f aca="false">IF(INDEX(등급!$J$5:$J$12,MATCH($D263,등급!$A$5:$A$12,0))=0,"-",IF(INDEX(등급!$I$5:$I$12,MATCH($D263,등급!$A$5:$A$12,0))=INDEX(등급!$J$5:$J$12,MATCH($D263,등급!$A$5:$A$12,0)),INDEX(등급!$I$5:$I$12,MATCH($D263,등급!$A$5:$A$12,0))&amp;"개",INDEX(등급!$I$5:$I$12,MATCH($D263,등급!$A$5:$A$12,0))&amp;"~"&amp;INDEX(등급!$J$5:$J$12,MATCH($D263,등급!$A$5:$A$12,0))&amp;"개"))</f>
        <v>-</v>
      </c>
      <c r="N263" s="19" t="str">
        <f aca="false">IF(INDEX(등급!$L$5:$L$12,MATCH($D263,등급!$A$5:$A$12,0))=0,"-",INDEX(등급!$K$5:$K$12,MATCH($D263,등급!$A$5:$A$12,0))&amp;"~"&amp;INDEX(등급!$L$5:$L$12,MATCH($D263,등급!$A$5:$A$12,0))&amp;"개")</f>
        <v>-</v>
      </c>
    </row>
    <row r="264" customFormat="false" ht="15" hidden="false" customHeight="false" outlineLevel="0" collapsed="false">
      <c r="A264" s="19" t="str">
        <f aca="false">장비_기본!B37</f>
        <v>생명의 지팡이</v>
      </c>
      <c r="B264" s="19" t="str">
        <f aca="false">장비_기본!C37</f>
        <v>무기</v>
      </c>
      <c r="C264" s="19" t="str">
        <f aca="false">장비_기본!D37</f>
        <v>서포터</v>
      </c>
      <c r="D264" s="8" t="s">
        <v>46</v>
      </c>
      <c r="E264" s="19" t="str">
        <f aca="false">장비_기본!F37</f>
        <v>공격력</v>
      </c>
      <c r="F264" s="20" t="n">
        <f aca="false">장비_기본!G37*INDEX(등급!$C$5:$C$12,MATCH($D264,등급!$A$5:$A$12,0))</f>
        <v>3.36</v>
      </c>
      <c r="G264" s="19" t="str">
        <f aca="false">장비_기본!H37</f>
        <v>회복량</v>
      </c>
      <c r="H264" s="21" t="n">
        <f aca="false">장비_기본!I37*INDEX(등급!$C$5:$C$12,MATCH($D264,등급!$A$5:$A$12,0))</f>
        <v>0.0525</v>
      </c>
      <c r="I264" s="19" t="str">
        <f aca="false">장비_기본!J37</f>
        <v>① 치유 회복량 +[값]%</v>
      </c>
      <c r="J264" s="20" t="n">
        <f aca="false">ROUND(장비_기본!K37*INDEX(등급!$F$5:$F$12,MATCH($D264,등급!$A$5:$A$12,0)),1)</f>
        <v>14</v>
      </c>
      <c r="K264" s="19" t="n">
        <f aca="false">INDEX(등급!$D$5:$D$12,MATCH($D264,등급!$A$5:$A$12,0))</f>
        <v>2</v>
      </c>
      <c r="L264" s="19" t="str">
        <f aca="false">IF(INDEX(등급!$H$5:$H$12,MATCH($D264,등급!$A$5:$A$12,0))=0,"-",IF(INDEX(등급!$G$5:$G$12,MATCH($D264,등급!$A$5:$A$12,0))=INDEX(등급!$H$5:$H$12,MATCH($D264,등급!$A$5:$A$12,0)),INDEX(등급!$G$5:$G$12,MATCH($D264,등급!$A$5:$A$12,0))&amp;"칸",INDEX(등급!$G$5:$G$12,MATCH($D264,등급!$A$5:$A$12,0))&amp;"~"&amp;INDEX(등급!$H$5:$H$12,MATCH($D264,등급!$A$5:$A$12,0))&amp;"칸"))</f>
        <v>-</v>
      </c>
      <c r="M264" s="19" t="str">
        <f aca="false">IF(INDEX(등급!$J$5:$J$12,MATCH($D264,등급!$A$5:$A$12,0))=0,"-",IF(INDEX(등급!$I$5:$I$12,MATCH($D264,등급!$A$5:$A$12,0))=INDEX(등급!$J$5:$J$12,MATCH($D264,등급!$A$5:$A$12,0)),INDEX(등급!$I$5:$I$12,MATCH($D264,등급!$A$5:$A$12,0))&amp;"개",INDEX(등급!$I$5:$I$12,MATCH($D264,등급!$A$5:$A$12,0))&amp;"~"&amp;INDEX(등급!$J$5:$J$12,MATCH($D264,등급!$A$5:$A$12,0))&amp;"개"))</f>
        <v>-</v>
      </c>
      <c r="N264" s="19" t="str">
        <f aca="false">IF(INDEX(등급!$L$5:$L$12,MATCH($D264,등급!$A$5:$A$12,0))=0,"-",INDEX(등급!$K$5:$K$12,MATCH($D264,등급!$A$5:$A$12,0))&amp;"~"&amp;INDEX(등급!$L$5:$L$12,MATCH($D264,등급!$A$5:$A$12,0))&amp;"개")</f>
        <v>-</v>
      </c>
    </row>
    <row r="265" customFormat="false" ht="15" hidden="false" customHeight="false" outlineLevel="0" collapsed="false">
      <c r="A265" s="19" t="str">
        <f aca="false">장비_기본!B37</f>
        <v>생명의 지팡이</v>
      </c>
      <c r="B265" s="19" t="str">
        <f aca="false">장비_기본!C37</f>
        <v>무기</v>
      </c>
      <c r="C265" s="19" t="str">
        <f aca="false">장비_기본!D37</f>
        <v>서포터</v>
      </c>
      <c r="D265" s="8" t="s">
        <v>47</v>
      </c>
      <c r="E265" s="19" t="str">
        <f aca="false">장비_기본!F37</f>
        <v>공격력</v>
      </c>
      <c r="F265" s="20" t="n">
        <f aca="false">장비_기본!G37*INDEX(등급!$C$5:$C$12,MATCH($D265,등급!$A$5:$A$12,0))</f>
        <v>4.08</v>
      </c>
      <c r="G265" s="19" t="str">
        <f aca="false">장비_기본!H37</f>
        <v>회복량</v>
      </c>
      <c r="H265" s="21" t="n">
        <f aca="false">장비_기본!I37*INDEX(등급!$C$5:$C$12,MATCH($D265,등급!$A$5:$A$12,0))</f>
        <v>0.06375</v>
      </c>
      <c r="I265" s="19" t="str">
        <f aca="false">장비_기본!J37</f>
        <v>① 치유 회복량 +[값]%</v>
      </c>
      <c r="J265" s="20" t="n">
        <f aca="false">ROUND(장비_기본!K37*INDEX(등급!$F$5:$F$12,MATCH($D265,등급!$A$5:$A$12,0)),1)</f>
        <v>16</v>
      </c>
      <c r="K265" s="19" t="n">
        <f aca="false">INDEX(등급!$D$5:$D$12,MATCH($D265,등급!$A$5:$A$12,0))</f>
        <v>3</v>
      </c>
      <c r="L265" s="19" t="str">
        <f aca="false">IF(INDEX(등급!$H$5:$H$12,MATCH($D265,등급!$A$5:$A$12,0))=0,"-",IF(INDEX(등급!$G$5:$G$12,MATCH($D265,등급!$A$5:$A$12,0))=INDEX(등급!$H$5:$H$12,MATCH($D265,등급!$A$5:$A$12,0)),INDEX(등급!$G$5:$G$12,MATCH($D265,등급!$A$5:$A$12,0))&amp;"칸",INDEX(등급!$G$5:$G$12,MATCH($D265,등급!$A$5:$A$12,0))&amp;"~"&amp;INDEX(등급!$H$5:$H$12,MATCH($D265,등급!$A$5:$A$12,0))&amp;"칸"))</f>
        <v>-</v>
      </c>
      <c r="M265" s="19" t="str">
        <f aca="false">IF(INDEX(등급!$J$5:$J$12,MATCH($D265,등급!$A$5:$A$12,0))=0,"-",IF(INDEX(등급!$I$5:$I$12,MATCH($D265,등급!$A$5:$A$12,0))=INDEX(등급!$J$5:$J$12,MATCH($D265,등급!$A$5:$A$12,0)),INDEX(등급!$I$5:$I$12,MATCH($D265,등급!$A$5:$A$12,0))&amp;"개",INDEX(등급!$I$5:$I$12,MATCH($D265,등급!$A$5:$A$12,0))&amp;"~"&amp;INDEX(등급!$J$5:$J$12,MATCH($D265,등급!$A$5:$A$12,0))&amp;"개"))</f>
        <v>-</v>
      </c>
      <c r="N265" s="19" t="str">
        <f aca="false">IF(INDEX(등급!$L$5:$L$12,MATCH($D265,등급!$A$5:$A$12,0))=0,"-",INDEX(등급!$K$5:$K$12,MATCH($D265,등급!$A$5:$A$12,0))&amp;"~"&amp;INDEX(등급!$L$5:$L$12,MATCH($D265,등급!$A$5:$A$12,0))&amp;"개")</f>
        <v>-</v>
      </c>
    </row>
    <row r="266" customFormat="false" ht="15" hidden="false" customHeight="false" outlineLevel="0" collapsed="false">
      <c r="A266" s="19" t="str">
        <f aca="false">장비_기본!B37</f>
        <v>생명의 지팡이</v>
      </c>
      <c r="B266" s="19" t="str">
        <f aca="false">장비_기본!C37</f>
        <v>무기</v>
      </c>
      <c r="C266" s="19" t="str">
        <f aca="false">장비_기본!D37</f>
        <v>서포터</v>
      </c>
      <c r="D266" s="8" t="s">
        <v>48</v>
      </c>
      <c r="E266" s="19" t="str">
        <f aca="false">장비_기본!F37</f>
        <v>공격력</v>
      </c>
      <c r="F266" s="20" t="n">
        <f aca="false">장비_기본!G37*INDEX(등급!$C$5:$C$12,MATCH($D266,등급!$A$5:$A$12,0))</f>
        <v>4.88</v>
      </c>
      <c r="G266" s="19" t="str">
        <f aca="false">장비_기본!H37</f>
        <v>회복량</v>
      </c>
      <c r="H266" s="21" t="n">
        <f aca="false">장비_기본!I37*INDEX(등급!$C$5:$C$12,MATCH($D266,등급!$A$5:$A$12,0))</f>
        <v>0.07625</v>
      </c>
      <c r="I266" s="19" t="str">
        <f aca="false">장비_기본!J37</f>
        <v>① 치유 회복량 +[값]%</v>
      </c>
      <c r="J266" s="20" t="n">
        <f aca="false">ROUND(장비_기본!K37*INDEX(등급!$F$5:$F$12,MATCH($D266,등급!$A$5:$A$12,0)),1)</f>
        <v>18.4</v>
      </c>
      <c r="K266" s="19" t="n">
        <f aca="false">INDEX(등급!$D$5:$D$12,MATCH($D266,등급!$A$5:$A$12,0))</f>
        <v>4</v>
      </c>
      <c r="L266" s="19" t="str">
        <f aca="false">IF(INDEX(등급!$H$5:$H$12,MATCH($D266,등급!$A$5:$A$12,0))=0,"-",IF(INDEX(등급!$G$5:$G$12,MATCH($D266,등급!$A$5:$A$12,0))=INDEX(등급!$H$5:$H$12,MATCH($D266,등급!$A$5:$A$12,0)),INDEX(등급!$G$5:$G$12,MATCH($D266,등급!$A$5:$A$12,0))&amp;"칸",INDEX(등급!$G$5:$G$12,MATCH($D266,등급!$A$5:$A$12,0))&amp;"~"&amp;INDEX(등급!$H$5:$H$12,MATCH($D266,등급!$A$5:$A$12,0))&amp;"칸"))</f>
        <v>-</v>
      </c>
      <c r="M266" s="19" t="str">
        <f aca="false">IF(INDEX(등급!$J$5:$J$12,MATCH($D266,등급!$A$5:$A$12,0))=0,"-",IF(INDEX(등급!$I$5:$I$12,MATCH($D266,등급!$A$5:$A$12,0))=INDEX(등급!$J$5:$J$12,MATCH($D266,등급!$A$5:$A$12,0)),INDEX(등급!$I$5:$I$12,MATCH($D266,등급!$A$5:$A$12,0))&amp;"개",INDEX(등급!$I$5:$I$12,MATCH($D266,등급!$A$5:$A$12,0))&amp;"~"&amp;INDEX(등급!$J$5:$J$12,MATCH($D266,등급!$A$5:$A$12,0))&amp;"개"))</f>
        <v>-</v>
      </c>
      <c r="N266" s="19" t="str">
        <f aca="false">IF(INDEX(등급!$L$5:$L$12,MATCH($D266,등급!$A$5:$A$12,0))=0,"-",INDEX(등급!$K$5:$K$12,MATCH($D266,등급!$A$5:$A$12,0))&amp;"~"&amp;INDEX(등급!$L$5:$L$12,MATCH($D266,등급!$A$5:$A$12,0))&amp;"개")</f>
        <v>-</v>
      </c>
    </row>
    <row r="267" customFormat="false" ht="15" hidden="false" customHeight="false" outlineLevel="0" collapsed="false">
      <c r="A267" s="19" t="str">
        <f aca="false">장비_기본!B37</f>
        <v>생명의 지팡이</v>
      </c>
      <c r="B267" s="19" t="str">
        <f aca="false">장비_기본!C37</f>
        <v>무기</v>
      </c>
      <c r="C267" s="19" t="str">
        <f aca="false">장비_기본!D37</f>
        <v>서포터</v>
      </c>
      <c r="D267" s="8" t="s">
        <v>49</v>
      </c>
      <c r="E267" s="19" t="str">
        <f aca="false">장비_기본!F37</f>
        <v>공격력</v>
      </c>
      <c r="F267" s="20" t="n">
        <f aca="false">장비_기본!G37*INDEX(등급!$C$5:$C$12,MATCH($D267,등급!$A$5:$A$12,0))</f>
        <v>5.12</v>
      </c>
      <c r="G267" s="19" t="str">
        <f aca="false">장비_기본!H37</f>
        <v>회복량</v>
      </c>
      <c r="H267" s="21" t="n">
        <f aca="false">장비_기본!I37*INDEX(등급!$C$5:$C$12,MATCH($D267,등급!$A$5:$A$12,0))</f>
        <v>0.08</v>
      </c>
      <c r="I267" s="19" t="str">
        <f aca="false">장비_기본!J37</f>
        <v>① 치유 회복량 +[값]%</v>
      </c>
      <c r="J267" s="20" t="n">
        <f aca="false">ROUND(장비_기본!K37*INDEX(등급!$F$5:$F$12,MATCH($D267,등급!$A$5:$A$12,0)),1)</f>
        <v>21.2</v>
      </c>
      <c r="K267" s="19" t="n">
        <f aca="false">INDEX(등급!$D$5:$D$12,MATCH($D267,등급!$A$5:$A$12,0))</f>
        <v>4</v>
      </c>
      <c r="L267" s="19" t="str">
        <f aca="false">IF(INDEX(등급!$H$5:$H$12,MATCH($D267,등급!$A$5:$A$12,0))=0,"-",IF(INDEX(등급!$G$5:$G$12,MATCH($D267,등급!$A$5:$A$12,0))=INDEX(등급!$H$5:$H$12,MATCH($D267,등급!$A$5:$A$12,0)),INDEX(등급!$G$5:$G$12,MATCH($D267,등급!$A$5:$A$12,0))&amp;"칸",INDEX(등급!$G$5:$G$12,MATCH($D267,등급!$A$5:$A$12,0))&amp;"~"&amp;INDEX(등급!$H$5:$H$12,MATCH($D267,등급!$A$5:$A$12,0))&amp;"칸"))</f>
        <v>1칸</v>
      </c>
      <c r="M267" s="19" t="str">
        <f aca="false">IF(INDEX(등급!$J$5:$J$12,MATCH($D267,등급!$A$5:$A$12,0))=0,"-",IF(INDEX(등급!$I$5:$I$12,MATCH($D267,등급!$A$5:$A$12,0))=INDEX(등급!$J$5:$J$12,MATCH($D267,등급!$A$5:$A$12,0)),INDEX(등급!$I$5:$I$12,MATCH($D267,등급!$A$5:$A$12,0))&amp;"개",INDEX(등급!$I$5:$I$12,MATCH($D267,등급!$A$5:$A$12,0))&amp;"~"&amp;INDEX(등급!$J$5:$J$12,MATCH($D267,등급!$A$5:$A$12,0))&amp;"개"))</f>
        <v>0~1개</v>
      </c>
      <c r="N267" s="19" t="str">
        <f aca="false">IF(INDEX(등급!$L$5:$L$12,MATCH($D267,등급!$A$5:$A$12,0))=0,"-",INDEX(등급!$K$5:$K$12,MATCH($D267,등급!$A$5:$A$12,0))&amp;"~"&amp;INDEX(등급!$L$5:$L$12,MATCH($D267,등급!$A$5:$A$12,0))&amp;"개")</f>
        <v>0~1개</v>
      </c>
    </row>
    <row r="268" customFormat="false" ht="15" hidden="false" customHeight="false" outlineLevel="0" collapsed="false">
      <c r="A268" s="19" t="str">
        <f aca="false">장비_기본!B37</f>
        <v>생명의 지팡이</v>
      </c>
      <c r="B268" s="19" t="str">
        <f aca="false">장비_기본!C37</f>
        <v>무기</v>
      </c>
      <c r="C268" s="19" t="str">
        <f aca="false">장비_기본!D37</f>
        <v>서포터</v>
      </c>
      <c r="D268" s="8" t="s">
        <v>51</v>
      </c>
      <c r="E268" s="19" t="str">
        <f aca="false">장비_기본!F37</f>
        <v>공격력</v>
      </c>
      <c r="F268" s="20" t="n">
        <f aca="false">장비_기본!G37*INDEX(등급!$C$5:$C$12,MATCH($D268,등급!$A$5:$A$12,0))</f>
        <v>5.28</v>
      </c>
      <c r="G268" s="19" t="str">
        <f aca="false">장비_기본!H37</f>
        <v>회복량</v>
      </c>
      <c r="H268" s="21" t="n">
        <f aca="false">장비_기본!I37*INDEX(등급!$C$5:$C$12,MATCH($D268,등급!$A$5:$A$12,0))</f>
        <v>0.0825</v>
      </c>
      <c r="I268" s="19" t="str">
        <f aca="false">장비_기본!J37</f>
        <v>① 치유 회복량 +[값]%</v>
      </c>
      <c r="J268" s="20" t="n">
        <f aca="false">ROUND(장비_기본!K37*INDEX(등급!$F$5:$F$12,MATCH($D268,등급!$A$5:$A$12,0)),1)</f>
        <v>24</v>
      </c>
      <c r="K268" s="19" t="n">
        <f aca="false">INDEX(등급!$D$5:$D$12,MATCH($D268,등급!$A$5:$A$12,0))</f>
        <v>4</v>
      </c>
      <c r="L268" s="19" t="str">
        <f aca="false">IF(INDEX(등급!$H$5:$H$12,MATCH($D268,등급!$A$5:$A$12,0))=0,"-",IF(INDEX(등급!$G$5:$G$12,MATCH($D268,등급!$A$5:$A$12,0))=INDEX(등급!$H$5:$H$12,MATCH($D268,등급!$A$5:$A$12,0)),INDEX(등급!$G$5:$G$12,MATCH($D268,등급!$A$5:$A$12,0))&amp;"칸",INDEX(등급!$G$5:$G$12,MATCH($D268,등급!$A$5:$A$12,0))&amp;"~"&amp;INDEX(등급!$H$5:$H$12,MATCH($D268,등급!$A$5:$A$12,0))&amp;"칸"))</f>
        <v>1~3칸</v>
      </c>
      <c r="M268" s="19" t="str">
        <f aca="false">IF(INDEX(등급!$J$5:$J$12,MATCH($D268,등급!$A$5:$A$12,0))=0,"-",IF(INDEX(등급!$I$5:$I$12,MATCH($D268,등급!$A$5:$A$12,0))=INDEX(등급!$J$5:$J$12,MATCH($D268,등급!$A$5:$A$12,0)),INDEX(등급!$I$5:$I$12,MATCH($D268,등급!$A$5:$A$12,0))&amp;"개",INDEX(등급!$I$5:$I$12,MATCH($D268,등급!$A$5:$A$12,0))&amp;"~"&amp;INDEX(등급!$J$5:$J$12,MATCH($D268,등급!$A$5:$A$12,0))&amp;"개"))</f>
        <v>1개</v>
      </c>
      <c r="N268" s="19" t="str">
        <f aca="false">IF(INDEX(등급!$L$5:$L$12,MATCH($D268,등급!$A$5:$A$12,0))=0,"-",INDEX(등급!$K$5:$K$12,MATCH($D268,등급!$A$5:$A$12,0))&amp;"~"&amp;INDEX(등급!$L$5:$L$12,MATCH($D268,등급!$A$5:$A$12,0))&amp;"개")</f>
        <v>0~2개</v>
      </c>
    </row>
    <row r="269" customFormat="false" ht="15" hidden="false" customHeight="false" outlineLevel="0" collapsed="false">
      <c r="A269" s="19" t="str">
        <f aca="false">장비_기본!B38</f>
        <v>빛의 홀</v>
      </c>
      <c r="B269" s="19" t="str">
        <f aca="false">장비_기본!C38</f>
        <v>무기</v>
      </c>
      <c r="C269" s="19" t="str">
        <f aca="false">장비_기본!D38</f>
        <v>서포터</v>
      </c>
      <c r="D269" s="8" t="s">
        <v>43</v>
      </c>
      <c r="E269" s="19" t="str">
        <f aca="false">장비_기본!F38</f>
        <v>공격력</v>
      </c>
      <c r="F269" s="20" t="n">
        <f aca="false">장비_기본!G38*INDEX(등급!$C$5:$C$12,MATCH($D269,등급!$A$5:$A$12,0))</f>
        <v>1.6</v>
      </c>
      <c r="G269" s="19" t="str">
        <f aca="false">장비_기본!H38</f>
        <v>회복량</v>
      </c>
      <c r="H269" s="21" t="n">
        <f aca="false">장비_기본!I38*INDEX(등급!$C$5:$C$12,MATCH($D269,등급!$A$5:$A$12,0))</f>
        <v>0.025</v>
      </c>
      <c r="I269" s="19" t="str">
        <f aca="false">장비_기본!J38</f>
        <v>② 광역 치유 범위 +[값]%</v>
      </c>
      <c r="J269" s="20" t="n">
        <f aca="false">ROUND(장비_기본!K38*INDEX(등급!$F$5:$F$12,MATCH($D269,등급!$A$5:$A$12,0)),1)</f>
        <v>6</v>
      </c>
      <c r="K269" s="19" t="n">
        <f aca="false">INDEX(등급!$D$5:$D$12,MATCH($D269,등급!$A$5:$A$12,0))</f>
        <v>0</v>
      </c>
      <c r="L269" s="19" t="str">
        <f aca="false">IF(INDEX(등급!$H$5:$H$12,MATCH($D269,등급!$A$5:$A$12,0))=0,"-",IF(INDEX(등급!$G$5:$G$12,MATCH($D269,등급!$A$5:$A$12,0))=INDEX(등급!$H$5:$H$12,MATCH($D269,등급!$A$5:$A$12,0)),INDEX(등급!$G$5:$G$12,MATCH($D269,등급!$A$5:$A$12,0))&amp;"칸",INDEX(등급!$G$5:$G$12,MATCH($D269,등급!$A$5:$A$12,0))&amp;"~"&amp;INDEX(등급!$H$5:$H$12,MATCH($D269,등급!$A$5:$A$12,0))&amp;"칸"))</f>
        <v>-</v>
      </c>
      <c r="M269" s="19" t="str">
        <f aca="false">IF(INDEX(등급!$J$5:$J$12,MATCH($D269,등급!$A$5:$A$12,0))=0,"-",IF(INDEX(등급!$I$5:$I$12,MATCH($D269,등급!$A$5:$A$12,0))=INDEX(등급!$J$5:$J$12,MATCH($D269,등급!$A$5:$A$12,0)),INDEX(등급!$I$5:$I$12,MATCH($D269,등급!$A$5:$A$12,0))&amp;"개",INDEX(등급!$I$5:$I$12,MATCH($D269,등급!$A$5:$A$12,0))&amp;"~"&amp;INDEX(등급!$J$5:$J$12,MATCH($D269,등급!$A$5:$A$12,0))&amp;"개"))</f>
        <v>-</v>
      </c>
      <c r="N269" s="19" t="str">
        <f aca="false">IF(INDEX(등급!$L$5:$L$12,MATCH($D269,등급!$A$5:$A$12,0))=0,"-",INDEX(등급!$K$5:$K$12,MATCH($D269,등급!$A$5:$A$12,0))&amp;"~"&amp;INDEX(등급!$L$5:$L$12,MATCH($D269,등급!$A$5:$A$12,0))&amp;"개")</f>
        <v>-</v>
      </c>
    </row>
    <row r="270" customFormat="false" ht="15" hidden="false" customHeight="false" outlineLevel="0" collapsed="false">
      <c r="A270" s="19" t="str">
        <f aca="false">장비_기본!B38</f>
        <v>빛의 홀</v>
      </c>
      <c r="B270" s="19" t="str">
        <f aca="false">장비_기본!C38</f>
        <v>무기</v>
      </c>
      <c r="C270" s="19" t="str">
        <f aca="false">장비_기본!D38</f>
        <v>서포터</v>
      </c>
      <c r="D270" s="8" t="s">
        <v>44</v>
      </c>
      <c r="E270" s="19" t="str">
        <f aca="false">장비_기본!F38</f>
        <v>공격력</v>
      </c>
      <c r="F270" s="20" t="n">
        <f aca="false">장비_기본!G38*INDEX(등급!$C$5:$C$12,MATCH($D270,등급!$A$5:$A$12,0))</f>
        <v>2.32</v>
      </c>
      <c r="G270" s="19" t="str">
        <f aca="false">장비_기본!H38</f>
        <v>회복량</v>
      </c>
      <c r="H270" s="21" t="n">
        <f aca="false">장비_기본!I38*INDEX(등급!$C$5:$C$12,MATCH($D270,등급!$A$5:$A$12,0))</f>
        <v>0.03625</v>
      </c>
      <c r="I270" s="19" t="str">
        <f aca="false">장비_기본!J38</f>
        <v>② 광역 치유 범위 +[값]%</v>
      </c>
      <c r="J270" s="20" t="n">
        <f aca="false">ROUND(장비_기본!K38*INDEX(등급!$F$5:$F$12,MATCH($D270,등급!$A$5:$A$12,0)),1)</f>
        <v>8.1</v>
      </c>
      <c r="K270" s="19" t="n">
        <f aca="false">INDEX(등급!$D$5:$D$12,MATCH($D270,등급!$A$5:$A$12,0))</f>
        <v>0</v>
      </c>
      <c r="L270" s="19" t="str">
        <f aca="false">IF(INDEX(등급!$H$5:$H$12,MATCH($D270,등급!$A$5:$A$12,0))=0,"-",IF(INDEX(등급!$G$5:$G$12,MATCH($D270,등급!$A$5:$A$12,0))=INDEX(등급!$H$5:$H$12,MATCH($D270,등급!$A$5:$A$12,0)),INDEX(등급!$G$5:$G$12,MATCH($D270,등급!$A$5:$A$12,0))&amp;"칸",INDEX(등급!$G$5:$G$12,MATCH($D270,등급!$A$5:$A$12,0))&amp;"~"&amp;INDEX(등급!$H$5:$H$12,MATCH($D270,등급!$A$5:$A$12,0))&amp;"칸"))</f>
        <v>-</v>
      </c>
      <c r="M270" s="19" t="str">
        <f aca="false">IF(INDEX(등급!$J$5:$J$12,MATCH($D270,등급!$A$5:$A$12,0))=0,"-",IF(INDEX(등급!$I$5:$I$12,MATCH($D270,등급!$A$5:$A$12,0))=INDEX(등급!$J$5:$J$12,MATCH($D270,등급!$A$5:$A$12,0)),INDEX(등급!$I$5:$I$12,MATCH($D270,등급!$A$5:$A$12,0))&amp;"개",INDEX(등급!$I$5:$I$12,MATCH($D270,등급!$A$5:$A$12,0))&amp;"~"&amp;INDEX(등급!$J$5:$J$12,MATCH($D270,등급!$A$5:$A$12,0))&amp;"개"))</f>
        <v>-</v>
      </c>
      <c r="N270" s="19" t="str">
        <f aca="false">IF(INDEX(등급!$L$5:$L$12,MATCH($D270,등급!$A$5:$A$12,0))=0,"-",INDEX(등급!$K$5:$K$12,MATCH($D270,등급!$A$5:$A$12,0))&amp;"~"&amp;INDEX(등급!$L$5:$L$12,MATCH($D270,등급!$A$5:$A$12,0))&amp;"개")</f>
        <v>-</v>
      </c>
    </row>
    <row r="271" customFormat="false" ht="15" hidden="false" customHeight="false" outlineLevel="0" collapsed="false">
      <c r="A271" s="19" t="str">
        <f aca="false">장비_기본!B38</f>
        <v>빛의 홀</v>
      </c>
      <c r="B271" s="19" t="str">
        <f aca="false">장비_기본!C38</f>
        <v>무기</v>
      </c>
      <c r="C271" s="19" t="str">
        <f aca="false">장비_기본!D38</f>
        <v>서포터</v>
      </c>
      <c r="D271" s="8" t="s">
        <v>45</v>
      </c>
      <c r="E271" s="19" t="str">
        <f aca="false">장비_기본!F38</f>
        <v>공격력</v>
      </c>
      <c r="F271" s="20" t="n">
        <f aca="false">장비_기본!G38*INDEX(등급!$C$5:$C$12,MATCH($D271,등급!$A$5:$A$12,0))</f>
        <v>2.72</v>
      </c>
      <c r="G271" s="19" t="str">
        <f aca="false">장비_기본!H38</f>
        <v>회복량</v>
      </c>
      <c r="H271" s="21" t="n">
        <f aca="false">장비_기본!I38*INDEX(등급!$C$5:$C$12,MATCH($D271,등급!$A$5:$A$12,0))</f>
        <v>0.0425</v>
      </c>
      <c r="I271" s="19" t="str">
        <f aca="false">장비_기본!J38</f>
        <v>② 광역 치유 범위 +[값]%</v>
      </c>
      <c r="J271" s="20" t="n">
        <f aca="false">ROUND(장비_기본!K38*INDEX(등급!$F$5:$F$12,MATCH($D271,등급!$A$5:$A$12,0)),1)</f>
        <v>9</v>
      </c>
      <c r="K271" s="19" t="n">
        <f aca="false">INDEX(등급!$D$5:$D$12,MATCH($D271,등급!$A$5:$A$12,0))</f>
        <v>1</v>
      </c>
      <c r="L271" s="19" t="str">
        <f aca="false">IF(INDEX(등급!$H$5:$H$12,MATCH($D271,등급!$A$5:$A$12,0))=0,"-",IF(INDEX(등급!$G$5:$G$12,MATCH($D271,등급!$A$5:$A$12,0))=INDEX(등급!$H$5:$H$12,MATCH($D271,등급!$A$5:$A$12,0)),INDEX(등급!$G$5:$G$12,MATCH($D271,등급!$A$5:$A$12,0))&amp;"칸",INDEX(등급!$G$5:$G$12,MATCH($D271,등급!$A$5:$A$12,0))&amp;"~"&amp;INDEX(등급!$H$5:$H$12,MATCH($D271,등급!$A$5:$A$12,0))&amp;"칸"))</f>
        <v>-</v>
      </c>
      <c r="M271" s="19" t="str">
        <f aca="false">IF(INDEX(등급!$J$5:$J$12,MATCH($D271,등급!$A$5:$A$12,0))=0,"-",IF(INDEX(등급!$I$5:$I$12,MATCH($D271,등급!$A$5:$A$12,0))=INDEX(등급!$J$5:$J$12,MATCH($D271,등급!$A$5:$A$12,0)),INDEX(등급!$I$5:$I$12,MATCH($D271,등급!$A$5:$A$12,0))&amp;"개",INDEX(등급!$I$5:$I$12,MATCH($D271,등급!$A$5:$A$12,0))&amp;"~"&amp;INDEX(등급!$J$5:$J$12,MATCH($D271,등급!$A$5:$A$12,0))&amp;"개"))</f>
        <v>-</v>
      </c>
      <c r="N271" s="19" t="str">
        <f aca="false">IF(INDEX(등급!$L$5:$L$12,MATCH($D271,등급!$A$5:$A$12,0))=0,"-",INDEX(등급!$K$5:$K$12,MATCH($D271,등급!$A$5:$A$12,0))&amp;"~"&amp;INDEX(등급!$L$5:$L$12,MATCH($D271,등급!$A$5:$A$12,0))&amp;"개")</f>
        <v>-</v>
      </c>
    </row>
    <row r="272" customFormat="false" ht="15" hidden="false" customHeight="false" outlineLevel="0" collapsed="false">
      <c r="A272" s="19" t="str">
        <f aca="false">장비_기본!B38</f>
        <v>빛의 홀</v>
      </c>
      <c r="B272" s="19" t="str">
        <f aca="false">장비_기본!C38</f>
        <v>무기</v>
      </c>
      <c r="C272" s="19" t="str">
        <f aca="false">장비_기본!D38</f>
        <v>서포터</v>
      </c>
      <c r="D272" s="8" t="s">
        <v>46</v>
      </c>
      <c r="E272" s="19" t="str">
        <f aca="false">장비_기본!F38</f>
        <v>공격력</v>
      </c>
      <c r="F272" s="20" t="n">
        <f aca="false">장비_기본!G38*INDEX(등급!$C$5:$C$12,MATCH($D272,등급!$A$5:$A$12,0))</f>
        <v>3.36</v>
      </c>
      <c r="G272" s="19" t="str">
        <f aca="false">장비_기본!H38</f>
        <v>회복량</v>
      </c>
      <c r="H272" s="21" t="n">
        <f aca="false">장비_기본!I38*INDEX(등급!$C$5:$C$12,MATCH($D272,등급!$A$5:$A$12,0))</f>
        <v>0.0525</v>
      </c>
      <c r="I272" s="19" t="str">
        <f aca="false">장비_기본!J38</f>
        <v>② 광역 치유 범위 +[값]%</v>
      </c>
      <c r="J272" s="20" t="n">
        <f aca="false">ROUND(장비_기본!K38*INDEX(등급!$F$5:$F$12,MATCH($D272,등급!$A$5:$A$12,0)),1)</f>
        <v>10.5</v>
      </c>
      <c r="K272" s="19" t="n">
        <f aca="false">INDEX(등급!$D$5:$D$12,MATCH($D272,등급!$A$5:$A$12,0))</f>
        <v>2</v>
      </c>
      <c r="L272" s="19" t="str">
        <f aca="false">IF(INDEX(등급!$H$5:$H$12,MATCH($D272,등급!$A$5:$A$12,0))=0,"-",IF(INDEX(등급!$G$5:$G$12,MATCH($D272,등급!$A$5:$A$12,0))=INDEX(등급!$H$5:$H$12,MATCH($D272,등급!$A$5:$A$12,0)),INDEX(등급!$G$5:$G$12,MATCH($D272,등급!$A$5:$A$12,0))&amp;"칸",INDEX(등급!$G$5:$G$12,MATCH($D272,등급!$A$5:$A$12,0))&amp;"~"&amp;INDEX(등급!$H$5:$H$12,MATCH($D272,등급!$A$5:$A$12,0))&amp;"칸"))</f>
        <v>-</v>
      </c>
      <c r="M272" s="19" t="str">
        <f aca="false">IF(INDEX(등급!$J$5:$J$12,MATCH($D272,등급!$A$5:$A$12,0))=0,"-",IF(INDEX(등급!$I$5:$I$12,MATCH($D272,등급!$A$5:$A$12,0))=INDEX(등급!$J$5:$J$12,MATCH($D272,등급!$A$5:$A$12,0)),INDEX(등급!$I$5:$I$12,MATCH($D272,등급!$A$5:$A$12,0))&amp;"개",INDEX(등급!$I$5:$I$12,MATCH($D272,등급!$A$5:$A$12,0))&amp;"~"&amp;INDEX(등급!$J$5:$J$12,MATCH($D272,등급!$A$5:$A$12,0))&amp;"개"))</f>
        <v>-</v>
      </c>
      <c r="N272" s="19" t="str">
        <f aca="false">IF(INDEX(등급!$L$5:$L$12,MATCH($D272,등급!$A$5:$A$12,0))=0,"-",INDEX(등급!$K$5:$K$12,MATCH($D272,등급!$A$5:$A$12,0))&amp;"~"&amp;INDEX(등급!$L$5:$L$12,MATCH($D272,등급!$A$5:$A$12,0))&amp;"개")</f>
        <v>-</v>
      </c>
    </row>
    <row r="273" customFormat="false" ht="15" hidden="false" customHeight="false" outlineLevel="0" collapsed="false">
      <c r="A273" s="19" t="str">
        <f aca="false">장비_기본!B38</f>
        <v>빛의 홀</v>
      </c>
      <c r="B273" s="19" t="str">
        <f aca="false">장비_기본!C38</f>
        <v>무기</v>
      </c>
      <c r="C273" s="19" t="str">
        <f aca="false">장비_기본!D38</f>
        <v>서포터</v>
      </c>
      <c r="D273" s="8" t="s">
        <v>47</v>
      </c>
      <c r="E273" s="19" t="str">
        <f aca="false">장비_기본!F38</f>
        <v>공격력</v>
      </c>
      <c r="F273" s="20" t="n">
        <f aca="false">장비_기본!G38*INDEX(등급!$C$5:$C$12,MATCH($D273,등급!$A$5:$A$12,0))</f>
        <v>4.08</v>
      </c>
      <c r="G273" s="19" t="str">
        <f aca="false">장비_기본!H38</f>
        <v>회복량</v>
      </c>
      <c r="H273" s="21" t="n">
        <f aca="false">장비_기본!I38*INDEX(등급!$C$5:$C$12,MATCH($D273,등급!$A$5:$A$12,0))</f>
        <v>0.06375</v>
      </c>
      <c r="I273" s="19" t="str">
        <f aca="false">장비_기본!J38</f>
        <v>② 광역 치유 범위 +[값]%</v>
      </c>
      <c r="J273" s="20" t="n">
        <f aca="false">ROUND(장비_기본!K38*INDEX(등급!$F$5:$F$12,MATCH($D273,등급!$A$5:$A$12,0)),1)</f>
        <v>12</v>
      </c>
      <c r="K273" s="19" t="n">
        <f aca="false">INDEX(등급!$D$5:$D$12,MATCH($D273,등급!$A$5:$A$12,0))</f>
        <v>3</v>
      </c>
      <c r="L273" s="19" t="str">
        <f aca="false">IF(INDEX(등급!$H$5:$H$12,MATCH($D273,등급!$A$5:$A$12,0))=0,"-",IF(INDEX(등급!$G$5:$G$12,MATCH($D273,등급!$A$5:$A$12,0))=INDEX(등급!$H$5:$H$12,MATCH($D273,등급!$A$5:$A$12,0)),INDEX(등급!$G$5:$G$12,MATCH($D273,등급!$A$5:$A$12,0))&amp;"칸",INDEX(등급!$G$5:$G$12,MATCH($D273,등급!$A$5:$A$12,0))&amp;"~"&amp;INDEX(등급!$H$5:$H$12,MATCH($D273,등급!$A$5:$A$12,0))&amp;"칸"))</f>
        <v>-</v>
      </c>
      <c r="M273" s="19" t="str">
        <f aca="false">IF(INDEX(등급!$J$5:$J$12,MATCH($D273,등급!$A$5:$A$12,0))=0,"-",IF(INDEX(등급!$I$5:$I$12,MATCH($D273,등급!$A$5:$A$12,0))=INDEX(등급!$J$5:$J$12,MATCH($D273,등급!$A$5:$A$12,0)),INDEX(등급!$I$5:$I$12,MATCH($D273,등급!$A$5:$A$12,0))&amp;"개",INDEX(등급!$I$5:$I$12,MATCH($D273,등급!$A$5:$A$12,0))&amp;"~"&amp;INDEX(등급!$J$5:$J$12,MATCH($D273,등급!$A$5:$A$12,0))&amp;"개"))</f>
        <v>-</v>
      </c>
      <c r="N273" s="19" t="str">
        <f aca="false">IF(INDEX(등급!$L$5:$L$12,MATCH($D273,등급!$A$5:$A$12,0))=0,"-",INDEX(등급!$K$5:$K$12,MATCH($D273,등급!$A$5:$A$12,0))&amp;"~"&amp;INDEX(등급!$L$5:$L$12,MATCH($D273,등급!$A$5:$A$12,0))&amp;"개")</f>
        <v>-</v>
      </c>
    </row>
    <row r="274" customFormat="false" ht="15" hidden="false" customHeight="false" outlineLevel="0" collapsed="false">
      <c r="A274" s="19" t="str">
        <f aca="false">장비_기본!B38</f>
        <v>빛의 홀</v>
      </c>
      <c r="B274" s="19" t="str">
        <f aca="false">장비_기본!C38</f>
        <v>무기</v>
      </c>
      <c r="C274" s="19" t="str">
        <f aca="false">장비_기본!D38</f>
        <v>서포터</v>
      </c>
      <c r="D274" s="8" t="s">
        <v>48</v>
      </c>
      <c r="E274" s="19" t="str">
        <f aca="false">장비_기본!F38</f>
        <v>공격력</v>
      </c>
      <c r="F274" s="20" t="n">
        <f aca="false">장비_기본!G38*INDEX(등급!$C$5:$C$12,MATCH($D274,등급!$A$5:$A$12,0))</f>
        <v>4.88</v>
      </c>
      <c r="G274" s="19" t="str">
        <f aca="false">장비_기본!H38</f>
        <v>회복량</v>
      </c>
      <c r="H274" s="21" t="n">
        <f aca="false">장비_기본!I38*INDEX(등급!$C$5:$C$12,MATCH($D274,등급!$A$5:$A$12,0))</f>
        <v>0.07625</v>
      </c>
      <c r="I274" s="19" t="str">
        <f aca="false">장비_기본!J38</f>
        <v>② 광역 치유 범위 +[값]%</v>
      </c>
      <c r="J274" s="20" t="n">
        <f aca="false">ROUND(장비_기본!K38*INDEX(등급!$F$5:$F$12,MATCH($D274,등급!$A$5:$A$12,0)),1)</f>
        <v>13.8</v>
      </c>
      <c r="K274" s="19" t="n">
        <f aca="false">INDEX(등급!$D$5:$D$12,MATCH($D274,등급!$A$5:$A$12,0))</f>
        <v>4</v>
      </c>
      <c r="L274" s="19" t="str">
        <f aca="false">IF(INDEX(등급!$H$5:$H$12,MATCH($D274,등급!$A$5:$A$12,0))=0,"-",IF(INDEX(등급!$G$5:$G$12,MATCH($D274,등급!$A$5:$A$12,0))=INDEX(등급!$H$5:$H$12,MATCH($D274,등급!$A$5:$A$12,0)),INDEX(등급!$G$5:$G$12,MATCH($D274,등급!$A$5:$A$12,0))&amp;"칸",INDEX(등급!$G$5:$G$12,MATCH($D274,등급!$A$5:$A$12,0))&amp;"~"&amp;INDEX(등급!$H$5:$H$12,MATCH($D274,등급!$A$5:$A$12,0))&amp;"칸"))</f>
        <v>-</v>
      </c>
      <c r="M274" s="19" t="str">
        <f aca="false">IF(INDEX(등급!$J$5:$J$12,MATCH($D274,등급!$A$5:$A$12,0))=0,"-",IF(INDEX(등급!$I$5:$I$12,MATCH($D274,등급!$A$5:$A$12,0))=INDEX(등급!$J$5:$J$12,MATCH($D274,등급!$A$5:$A$12,0)),INDEX(등급!$I$5:$I$12,MATCH($D274,등급!$A$5:$A$12,0))&amp;"개",INDEX(등급!$I$5:$I$12,MATCH($D274,등급!$A$5:$A$12,0))&amp;"~"&amp;INDEX(등급!$J$5:$J$12,MATCH($D274,등급!$A$5:$A$12,0))&amp;"개"))</f>
        <v>-</v>
      </c>
      <c r="N274" s="19" t="str">
        <f aca="false">IF(INDEX(등급!$L$5:$L$12,MATCH($D274,등급!$A$5:$A$12,0))=0,"-",INDEX(등급!$K$5:$K$12,MATCH($D274,등급!$A$5:$A$12,0))&amp;"~"&amp;INDEX(등급!$L$5:$L$12,MATCH($D274,등급!$A$5:$A$12,0))&amp;"개")</f>
        <v>-</v>
      </c>
    </row>
    <row r="275" customFormat="false" ht="15" hidden="false" customHeight="false" outlineLevel="0" collapsed="false">
      <c r="A275" s="19" t="str">
        <f aca="false">장비_기본!B38</f>
        <v>빛의 홀</v>
      </c>
      <c r="B275" s="19" t="str">
        <f aca="false">장비_기본!C38</f>
        <v>무기</v>
      </c>
      <c r="C275" s="19" t="str">
        <f aca="false">장비_기본!D38</f>
        <v>서포터</v>
      </c>
      <c r="D275" s="8" t="s">
        <v>49</v>
      </c>
      <c r="E275" s="19" t="str">
        <f aca="false">장비_기본!F38</f>
        <v>공격력</v>
      </c>
      <c r="F275" s="20" t="n">
        <f aca="false">장비_기본!G38*INDEX(등급!$C$5:$C$12,MATCH($D275,등급!$A$5:$A$12,0))</f>
        <v>5.12</v>
      </c>
      <c r="G275" s="19" t="str">
        <f aca="false">장비_기본!H38</f>
        <v>회복량</v>
      </c>
      <c r="H275" s="21" t="n">
        <f aca="false">장비_기본!I38*INDEX(등급!$C$5:$C$12,MATCH($D275,등급!$A$5:$A$12,0))</f>
        <v>0.08</v>
      </c>
      <c r="I275" s="19" t="str">
        <f aca="false">장비_기본!J38</f>
        <v>② 광역 치유 범위 +[값]%</v>
      </c>
      <c r="J275" s="20" t="n">
        <f aca="false">ROUND(장비_기본!K38*INDEX(등급!$F$5:$F$12,MATCH($D275,등급!$A$5:$A$12,0)),1)</f>
        <v>15.9</v>
      </c>
      <c r="K275" s="19" t="n">
        <f aca="false">INDEX(등급!$D$5:$D$12,MATCH($D275,등급!$A$5:$A$12,0))</f>
        <v>4</v>
      </c>
      <c r="L275" s="19" t="str">
        <f aca="false">IF(INDEX(등급!$H$5:$H$12,MATCH($D275,등급!$A$5:$A$12,0))=0,"-",IF(INDEX(등급!$G$5:$G$12,MATCH($D275,등급!$A$5:$A$12,0))=INDEX(등급!$H$5:$H$12,MATCH($D275,등급!$A$5:$A$12,0)),INDEX(등급!$G$5:$G$12,MATCH($D275,등급!$A$5:$A$12,0))&amp;"칸",INDEX(등급!$G$5:$G$12,MATCH($D275,등급!$A$5:$A$12,0))&amp;"~"&amp;INDEX(등급!$H$5:$H$12,MATCH($D275,등급!$A$5:$A$12,0))&amp;"칸"))</f>
        <v>1칸</v>
      </c>
      <c r="M275" s="19" t="str">
        <f aca="false">IF(INDEX(등급!$J$5:$J$12,MATCH($D275,등급!$A$5:$A$12,0))=0,"-",IF(INDEX(등급!$I$5:$I$12,MATCH($D275,등급!$A$5:$A$12,0))=INDEX(등급!$J$5:$J$12,MATCH($D275,등급!$A$5:$A$12,0)),INDEX(등급!$I$5:$I$12,MATCH($D275,등급!$A$5:$A$12,0))&amp;"개",INDEX(등급!$I$5:$I$12,MATCH($D275,등급!$A$5:$A$12,0))&amp;"~"&amp;INDEX(등급!$J$5:$J$12,MATCH($D275,등급!$A$5:$A$12,0))&amp;"개"))</f>
        <v>0~1개</v>
      </c>
      <c r="N275" s="19" t="str">
        <f aca="false">IF(INDEX(등급!$L$5:$L$12,MATCH($D275,등급!$A$5:$A$12,0))=0,"-",INDEX(등급!$K$5:$K$12,MATCH($D275,등급!$A$5:$A$12,0))&amp;"~"&amp;INDEX(등급!$L$5:$L$12,MATCH($D275,등급!$A$5:$A$12,0))&amp;"개")</f>
        <v>0~1개</v>
      </c>
    </row>
    <row r="276" customFormat="false" ht="15" hidden="false" customHeight="false" outlineLevel="0" collapsed="false">
      <c r="A276" s="19" t="str">
        <f aca="false">장비_기본!B38</f>
        <v>빛의 홀</v>
      </c>
      <c r="B276" s="19" t="str">
        <f aca="false">장비_기본!C38</f>
        <v>무기</v>
      </c>
      <c r="C276" s="19" t="str">
        <f aca="false">장비_기본!D38</f>
        <v>서포터</v>
      </c>
      <c r="D276" s="8" t="s">
        <v>51</v>
      </c>
      <c r="E276" s="19" t="str">
        <f aca="false">장비_기본!F38</f>
        <v>공격력</v>
      </c>
      <c r="F276" s="20" t="n">
        <f aca="false">장비_기본!G38*INDEX(등급!$C$5:$C$12,MATCH($D276,등급!$A$5:$A$12,0))</f>
        <v>5.28</v>
      </c>
      <c r="G276" s="19" t="str">
        <f aca="false">장비_기본!H38</f>
        <v>회복량</v>
      </c>
      <c r="H276" s="21" t="n">
        <f aca="false">장비_기본!I38*INDEX(등급!$C$5:$C$12,MATCH($D276,등급!$A$5:$A$12,0))</f>
        <v>0.0825</v>
      </c>
      <c r="I276" s="19" t="str">
        <f aca="false">장비_기본!J38</f>
        <v>② 광역 치유 범위 +[값]%</v>
      </c>
      <c r="J276" s="20" t="n">
        <f aca="false">ROUND(장비_기본!K38*INDEX(등급!$F$5:$F$12,MATCH($D276,등급!$A$5:$A$12,0)),1)</f>
        <v>18</v>
      </c>
      <c r="K276" s="19" t="n">
        <f aca="false">INDEX(등급!$D$5:$D$12,MATCH($D276,등급!$A$5:$A$12,0))</f>
        <v>4</v>
      </c>
      <c r="L276" s="19" t="str">
        <f aca="false">IF(INDEX(등급!$H$5:$H$12,MATCH($D276,등급!$A$5:$A$12,0))=0,"-",IF(INDEX(등급!$G$5:$G$12,MATCH($D276,등급!$A$5:$A$12,0))=INDEX(등급!$H$5:$H$12,MATCH($D276,등급!$A$5:$A$12,0)),INDEX(등급!$G$5:$G$12,MATCH($D276,등급!$A$5:$A$12,0))&amp;"칸",INDEX(등급!$G$5:$G$12,MATCH($D276,등급!$A$5:$A$12,0))&amp;"~"&amp;INDEX(등급!$H$5:$H$12,MATCH($D276,등급!$A$5:$A$12,0))&amp;"칸"))</f>
        <v>1~3칸</v>
      </c>
      <c r="M276" s="19" t="str">
        <f aca="false">IF(INDEX(등급!$J$5:$J$12,MATCH($D276,등급!$A$5:$A$12,0))=0,"-",IF(INDEX(등급!$I$5:$I$12,MATCH($D276,등급!$A$5:$A$12,0))=INDEX(등급!$J$5:$J$12,MATCH($D276,등급!$A$5:$A$12,0)),INDEX(등급!$I$5:$I$12,MATCH($D276,등급!$A$5:$A$12,0))&amp;"개",INDEX(등급!$I$5:$I$12,MATCH($D276,등급!$A$5:$A$12,0))&amp;"~"&amp;INDEX(등급!$J$5:$J$12,MATCH($D276,등급!$A$5:$A$12,0))&amp;"개"))</f>
        <v>1개</v>
      </c>
      <c r="N276" s="19" t="str">
        <f aca="false">IF(INDEX(등급!$L$5:$L$12,MATCH($D276,등급!$A$5:$A$12,0))=0,"-",INDEX(등급!$K$5:$K$12,MATCH($D276,등급!$A$5:$A$12,0))&amp;"~"&amp;INDEX(등급!$L$5:$L$12,MATCH($D276,등급!$A$5:$A$12,0))&amp;"개")</f>
        <v>0~2개</v>
      </c>
    </row>
    <row r="277" customFormat="false" ht="15" hidden="false" customHeight="false" outlineLevel="0" collapsed="false">
      <c r="A277" s="19" t="str">
        <f aca="false">장비_기본!B39</f>
        <v>정화의 성구</v>
      </c>
      <c r="B277" s="19" t="str">
        <f aca="false">장비_기본!C39</f>
        <v>무기</v>
      </c>
      <c r="C277" s="19" t="str">
        <f aca="false">장비_기본!D39</f>
        <v>서포터</v>
      </c>
      <c r="D277" s="8" t="s">
        <v>43</v>
      </c>
      <c r="E277" s="19" t="str">
        <f aca="false">장비_기본!F39</f>
        <v>공격력</v>
      </c>
      <c r="F277" s="20" t="n">
        <f aca="false">장비_기본!G39*INDEX(등급!$C$5:$C$12,MATCH($D277,등급!$A$5:$A$12,0))</f>
        <v>1.6</v>
      </c>
      <c r="G277" s="19" t="str">
        <f aca="false">장비_기본!H39</f>
        <v>회복량</v>
      </c>
      <c r="H277" s="21" t="n">
        <f aca="false">장비_기본!I39*INDEX(등급!$C$5:$C$12,MATCH($D277,등급!$A$5:$A$12,0))</f>
        <v>0.025</v>
      </c>
      <c r="I277" s="19" t="str">
        <f aca="false">장비_기본!J39</f>
        <v>치유받은 아군 3초간 받는 피해 -[값]%</v>
      </c>
      <c r="J277" s="20" t="n">
        <f aca="false">ROUND(장비_기본!K39*INDEX(등급!$F$5:$F$12,MATCH($D277,등급!$A$5:$A$12,0)),1)</f>
        <v>5</v>
      </c>
      <c r="K277" s="19" t="n">
        <f aca="false">INDEX(등급!$D$5:$D$12,MATCH($D277,등급!$A$5:$A$12,0))</f>
        <v>0</v>
      </c>
      <c r="L277" s="19" t="str">
        <f aca="false">IF(INDEX(등급!$H$5:$H$12,MATCH($D277,등급!$A$5:$A$12,0))=0,"-",IF(INDEX(등급!$G$5:$G$12,MATCH($D277,등급!$A$5:$A$12,0))=INDEX(등급!$H$5:$H$12,MATCH($D277,등급!$A$5:$A$12,0)),INDEX(등급!$G$5:$G$12,MATCH($D277,등급!$A$5:$A$12,0))&amp;"칸",INDEX(등급!$G$5:$G$12,MATCH($D277,등급!$A$5:$A$12,0))&amp;"~"&amp;INDEX(등급!$H$5:$H$12,MATCH($D277,등급!$A$5:$A$12,0))&amp;"칸"))</f>
        <v>-</v>
      </c>
      <c r="M277" s="19" t="str">
        <f aca="false">IF(INDEX(등급!$J$5:$J$12,MATCH($D277,등급!$A$5:$A$12,0))=0,"-",IF(INDEX(등급!$I$5:$I$12,MATCH($D277,등급!$A$5:$A$12,0))=INDEX(등급!$J$5:$J$12,MATCH($D277,등급!$A$5:$A$12,0)),INDEX(등급!$I$5:$I$12,MATCH($D277,등급!$A$5:$A$12,0))&amp;"개",INDEX(등급!$I$5:$I$12,MATCH($D277,등급!$A$5:$A$12,0))&amp;"~"&amp;INDEX(등급!$J$5:$J$12,MATCH($D277,등급!$A$5:$A$12,0))&amp;"개"))</f>
        <v>-</v>
      </c>
      <c r="N277" s="19" t="str">
        <f aca="false">IF(INDEX(등급!$L$5:$L$12,MATCH($D277,등급!$A$5:$A$12,0))=0,"-",INDEX(등급!$K$5:$K$12,MATCH($D277,등급!$A$5:$A$12,0))&amp;"~"&amp;INDEX(등급!$L$5:$L$12,MATCH($D277,등급!$A$5:$A$12,0))&amp;"개")</f>
        <v>-</v>
      </c>
    </row>
    <row r="278" customFormat="false" ht="15" hidden="false" customHeight="false" outlineLevel="0" collapsed="false">
      <c r="A278" s="19" t="str">
        <f aca="false">장비_기본!B39</f>
        <v>정화의 성구</v>
      </c>
      <c r="B278" s="19" t="str">
        <f aca="false">장비_기본!C39</f>
        <v>무기</v>
      </c>
      <c r="C278" s="19" t="str">
        <f aca="false">장비_기본!D39</f>
        <v>서포터</v>
      </c>
      <c r="D278" s="8" t="s">
        <v>44</v>
      </c>
      <c r="E278" s="19" t="str">
        <f aca="false">장비_기본!F39</f>
        <v>공격력</v>
      </c>
      <c r="F278" s="20" t="n">
        <f aca="false">장비_기본!G39*INDEX(등급!$C$5:$C$12,MATCH($D278,등급!$A$5:$A$12,0))</f>
        <v>2.32</v>
      </c>
      <c r="G278" s="19" t="str">
        <f aca="false">장비_기본!H39</f>
        <v>회복량</v>
      </c>
      <c r="H278" s="21" t="n">
        <f aca="false">장비_기본!I39*INDEX(등급!$C$5:$C$12,MATCH($D278,등급!$A$5:$A$12,0))</f>
        <v>0.03625</v>
      </c>
      <c r="I278" s="19" t="str">
        <f aca="false">장비_기본!J39</f>
        <v>치유받은 아군 3초간 받는 피해 -[값]%</v>
      </c>
      <c r="J278" s="20" t="n">
        <f aca="false">ROUND(장비_기본!K39*INDEX(등급!$F$5:$F$12,MATCH($D278,등급!$A$5:$A$12,0)),1)</f>
        <v>6.8</v>
      </c>
      <c r="K278" s="19" t="n">
        <f aca="false">INDEX(등급!$D$5:$D$12,MATCH($D278,등급!$A$5:$A$12,0))</f>
        <v>0</v>
      </c>
      <c r="L278" s="19" t="str">
        <f aca="false">IF(INDEX(등급!$H$5:$H$12,MATCH($D278,등급!$A$5:$A$12,0))=0,"-",IF(INDEX(등급!$G$5:$G$12,MATCH($D278,등급!$A$5:$A$12,0))=INDEX(등급!$H$5:$H$12,MATCH($D278,등급!$A$5:$A$12,0)),INDEX(등급!$G$5:$G$12,MATCH($D278,등급!$A$5:$A$12,0))&amp;"칸",INDEX(등급!$G$5:$G$12,MATCH($D278,등급!$A$5:$A$12,0))&amp;"~"&amp;INDEX(등급!$H$5:$H$12,MATCH($D278,등급!$A$5:$A$12,0))&amp;"칸"))</f>
        <v>-</v>
      </c>
      <c r="M278" s="19" t="str">
        <f aca="false">IF(INDEX(등급!$J$5:$J$12,MATCH($D278,등급!$A$5:$A$12,0))=0,"-",IF(INDEX(등급!$I$5:$I$12,MATCH($D278,등급!$A$5:$A$12,0))=INDEX(등급!$J$5:$J$12,MATCH($D278,등급!$A$5:$A$12,0)),INDEX(등급!$I$5:$I$12,MATCH($D278,등급!$A$5:$A$12,0))&amp;"개",INDEX(등급!$I$5:$I$12,MATCH($D278,등급!$A$5:$A$12,0))&amp;"~"&amp;INDEX(등급!$J$5:$J$12,MATCH($D278,등급!$A$5:$A$12,0))&amp;"개"))</f>
        <v>-</v>
      </c>
      <c r="N278" s="19" t="str">
        <f aca="false">IF(INDEX(등급!$L$5:$L$12,MATCH($D278,등급!$A$5:$A$12,0))=0,"-",INDEX(등급!$K$5:$K$12,MATCH($D278,등급!$A$5:$A$12,0))&amp;"~"&amp;INDEX(등급!$L$5:$L$12,MATCH($D278,등급!$A$5:$A$12,0))&amp;"개")</f>
        <v>-</v>
      </c>
    </row>
    <row r="279" customFormat="false" ht="15" hidden="false" customHeight="false" outlineLevel="0" collapsed="false">
      <c r="A279" s="19" t="str">
        <f aca="false">장비_기본!B39</f>
        <v>정화의 성구</v>
      </c>
      <c r="B279" s="19" t="str">
        <f aca="false">장비_기본!C39</f>
        <v>무기</v>
      </c>
      <c r="C279" s="19" t="str">
        <f aca="false">장비_기본!D39</f>
        <v>서포터</v>
      </c>
      <c r="D279" s="8" t="s">
        <v>45</v>
      </c>
      <c r="E279" s="19" t="str">
        <f aca="false">장비_기본!F39</f>
        <v>공격력</v>
      </c>
      <c r="F279" s="20" t="n">
        <f aca="false">장비_기본!G39*INDEX(등급!$C$5:$C$12,MATCH($D279,등급!$A$5:$A$12,0))</f>
        <v>2.72</v>
      </c>
      <c r="G279" s="19" t="str">
        <f aca="false">장비_기본!H39</f>
        <v>회복량</v>
      </c>
      <c r="H279" s="21" t="n">
        <f aca="false">장비_기본!I39*INDEX(등급!$C$5:$C$12,MATCH($D279,등급!$A$5:$A$12,0))</f>
        <v>0.0425</v>
      </c>
      <c r="I279" s="19" t="str">
        <f aca="false">장비_기본!J39</f>
        <v>치유받은 아군 3초간 받는 피해 -[값]%</v>
      </c>
      <c r="J279" s="20" t="n">
        <f aca="false">ROUND(장비_기본!K39*INDEX(등급!$F$5:$F$12,MATCH($D279,등급!$A$5:$A$12,0)),1)</f>
        <v>7.5</v>
      </c>
      <c r="K279" s="19" t="n">
        <f aca="false">INDEX(등급!$D$5:$D$12,MATCH($D279,등급!$A$5:$A$12,0))</f>
        <v>1</v>
      </c>
      <c r="L279" s="19" t="str">
        <f aca="false">IF(INDEX(등급!$H$5:$H$12,MATCH($D279,등급!$A$5:$A$12,0))=0,"-",IF(INDEX(등급!$G$5:$G$12,MATCH($D279,등급!$A$5:$A$12,0))=INDEX(등급!$H$5:$H$12,MATCH($D279,등급!$A$5:$A$12,0)),INDEX(등급!$G$5:$G$12,MATCH($D279,등급!$A$5:$A$12,0))&amp;"칸",INDEX(등급!$G$5:$G$12,MATCH($D279,등급!$A$5:$A$12,0))&amp;"~"&amp;INDEX(등급!$H$5:$H$12,MATCH($D279,등급!$A$5:$A$12,0))&amp;"칸"))</f>
        <v>-</v>
      </c>
      <c r="M279" s="19" t="str">
        <f aca="false">IF(INDEX(등급!$J$5:$J$12,MATCH($D279,등급!$A$5:$A$12,0))=0,"-",IF(INDEX(등급!$I$5:$I$12,MATCH($D279,등급!$A$5:$A$12,0))=INDEX(등급!$J$5:$J$12,MATCH($D279,등급!$A$5:$A$12,0)),INDEX(등급!$I$5:$I$12,MATCH($D279,등급!$A$5:$A$12,0))&amp;"개",INDEX(등급!$I$5:$I$12,MATCH($D279,등급!$A$5:$A$12,0))&amp;"~"&amp;INDEX(등급!$J$5:$J$12,MATCH($D279,등급!$A$5:$A$12,0))&amp;"개"))</f>
        <v>-</v>
      </c>
      <c r="N279" s="19" t="str">
        <f aca="false">IF(INDEX(등급!$L$5:$L$12,MATCH($D279,등급!$A$5:$A$12,0))=0,"-",INDEX(등급!$K$5:$K$12,MATCH($D279,등급!$A$5:$A$12,0))&amp;"~"&amp;INDEX(등급!$L$5:$L$12,MATCH($D279,등급!$A$5:$A$12,0))&amp;"개")</f>
        <v>-</v>
      </c>
    </row>
    <row r="280" customFormat="false" ht="15" hidden="false" customHeight="false" outlineLevel="0" collapsed="false">
      <c r="A280" s="19" t="str">
        <f aca="false">장비_기본!B39</f>
        <v>정화의 성구</v>
      </c>
      <c r="B280" s="19" t="str">
        <f aca="false">장비_기본!C39</f>
        <v>무기</v>
      </c>
      <c r="C280" s="19" t="str">
        <f aca="false">장비_기본!D39</f>
        <v>서포터</v>
      </c>
      <c r="D280" s="8" t="s">
        <v>46</v>
      </c>
      <c r="E280" s="19" t="str">
        <f aca="false">장비_기본!F39</f>
        <v>공격력</v>
      </c>
      <c r="F280" s="20" t="n">
        <f aca="false">장비_기본!G39*INDEX(등급!$C$5:$C$12,MATCH($D280,등급!$A$5:$A$12,0))</f>
        <v>3.36</v>
      </c>
      <c r="G280" s="19" t="str">
        <f aca="false">장비_기본!H39</f>
        <v>회복량</v>
      </c>
      <c r="H280" s="21" t="n">
        <f aca="false">장비_기본!I39*INDEX(등급!$C$5:$C$12,MATCH($D280,등급!$A$5:$A$12,0))</f>
        <v>0.0525</v>
      </c>
      <c r="I280" s="19" t="str">
        <f aca="false">장비_기본!J39</f>
        <v>치유받은 아군 3초간 받는 피해 -[값]%</v>
      </c>
      <c r="J280" s="20" t="n">
        <f aca="false">ROUND(장비_기본!K39*INDEX(등급!$F$5:$F$12,MATCH($D280,등급!$A$5:$A$12,0)),1)</f>
        <v>8.8</v>
      </c>
      <c r="K280" s="19" t="n">
        <f aca="false">INDEX(등급!$D$5:$D$12,MATCH($D280,등급!$A$5:$A$12,0))</f>
        <v>2</v>
      </c>
      <c r="L280" s="19" t="str">
        <f aca="false">IF(INDEX(등급!$H$5:$H$12,MATCH($D280,등급!$A$5:$A$12,0))=0,"-",IF(INDEX(등급!$G$5:$G$12,MATCH($D280,등급!$A$5:$A$12,0))=INDEX(등급!$H$5:$H$12,MATCH($D280,등급!$A$5:$A$12,0)),INDEX(등급!$G$5:$G$12,MATCH($D280,등급!$A$5:$A$12,0))&amp;"칸",INDEX(등급!$G$5:$G$12,MATCH($D280,등급!$A$5:$A$12,0))&amp;"~"&amp;INDEX(등급!$H$5:$H$12,MATCH($D280,등급!$A$5:$A$12,0))&amp;"칸"))</f>
        <v>-</v>
      </c>
      <c r="M280" s="19" t="str">
        <f aca="false">IF(INDEX(등급!$J$5:$J$12,MATCH($D280,등급!$A$5:$A$12,0))=0,"-",IF(INDEX(등급!$I$5:$I$12,MATCH($D280,등급!$A$5:$A$12,0))=INDEX(등급!$J$5:$J$12,MATCH($D280,등급!$A$5:$A$12,0)),INDEX(등급!$I$5:$I$12,MATCH($D280,등급!$A$5:$A$12,0))&amp;"개",INDEX(등급!$I$5:$I$12,MATCH($D280,등급!$A$5:$A$12,0))&amp;"~"&amp;INDEX(등급!$J$5:$J$12,MATCH($D280,등급!$A$5:$A$12,0))&amp;"개"))</f>
        <v>-</v>
      </c>
      <c r="N280" s="19" t="str">
        <f aca="false">IF(INDEX(등급!$L$5:$L$12,MATCH($D280,등급!$A$5:$A$12,0))=0,"-",INDEX(등급!$K$5:$K$12,MATCH($D280,등급!$A$5:$A$12,0))&amp;"~"&amp;INDEX(등급!$L$5:$L$12,MATCH($D280,등급!$A$5:$A$12,0))&amp;"개")</f>
        <v>-</v>
      </c>
    </row>
    <row r="281" customFormat="false" ht="15" hidden="false" customHeight="false" outlineLevel="0" collapsed="false">
      <c r="A281" s="19" t="str">
        <f aca="false">장비_기본!B39</f>
        <v>정화의 성구</v>
      </c>
      <c r="B281" s="19" t="str">
        <f aca="false">장비_기본!C39</f>
        <v>무기</v>
      </c>
      <c r="C281" s="19" t="str">
        <f aca="false">장비_기본!D39</f>
        <v>서포터</v>
      </c>
      <c r="D281" s="8" t="s">
        <v>47</v>
      </c>
      <c r="E281" s="19" t="str">
        <f aca="false">장비_기본!F39</f>
        <v>공격력</v>
      </c>
      <c r="F281" s="20" t="n">
        <f aca="false">장비_기본!G39*INDEX(등급!$C$5:$C$12,MATCH($D281,등급!$A$5:$A$12,0))</f>
        <v>4.08</v>
      </c>
      <c r="G281" s="19" t="str">
        <f aca="false">장비_기본!H39</f>
        <v>회복량</v>
      </c>
      <c r="H281" s="21" t="n">
        <f aca="false">장비_기본!I39*INDEX(등급!$C$5:$C$12,MATCH($D281,등급!$A$5:$A$12,0))</f>
        <v>0.06375</v>
      </c>
      <c r="I281" s="19" t="str">
        <f aca="false">장비_기본!J39</f>
        <v>치유받은 아군 3초간 받는 피해 -[값]%</v>
      </c>
      <c r="J281" s="20" t="n">
        <f aca="false">ROUND(장비_기본!K39*INDEX(등급!$F$5:$F$12,MATCH($D281,등급!$A$5:$A$12,0)),1)</f>
        <v>10</v>
      </c>
      <c r="K281" s="19" t="n">
        <f aca="false">INDEX(등급!$D$5:$D$12,MATCH($D281,등급!$A$5:$A$12,0))</f>
        <v>3</v>
      </c>
      <c r="L281" s="19" t="str">
        <f aca="false">IF(INDEX(등급!$H$5:$H$12,MATCH($D281,등급!$A$5:$A$12,0))=0,"-",IF(INDEX(등급!$G$5:$G$12,MATCH($D281,등급!$A$5:$A$12,0))=INDEX(등급!$H$5:$H$12,MATCH($D281,등급!$A$5:$A$12,0)),INDEX(등급!$G$5:$G$12,MATCH($D281,등급!$A$5:$A$12,0))&amp;"칸",INDEX(등급!$G$5:$G$12,MATCH($D281,등급!$A$5:$A$12,0))&amp;"~"&amp;INDEX(등급!$H$5:$H$12,MATCH($D281,등급!$A$5:$A$12,0))&amp;"칸"))</f>
        <v>-</v>
      </c>
      <c r="M281" s="19" t="str">
        <f aca="false">IF(INDEX(등급!$J$5:$J$12,MATCH($D281,등급!$A$5:$A$12,0))=0,"-",IF(INDEX(등급!$I$5:$I$12,MATCH($D281,등급!$A$5:$A$12,0))=INDEX(등급!$J$5:$J$12,MATCH($D281,등급!$A$5:$A$12,0)),INDEX(등급!$I$5:$I$12,MATCH($D281,등급!$A$5:$A$12,0))&amp;"개",INDEX(등급!$I$5:$I$12,MATCH($D281,등급!$A$5:$A$12,0))&amp;"~"&amp;INDEX(등급!$J$5:$J$12,MATCH($D281,등급!$A$5:$A$12,0))&amp;"개"))</f>
        <v>-</v>
      </c>
      <c r="N281" s="19" t="str">
        <f aca="false">IF(INDEX(등급!$L$5:$L$12,MATCH($D281,등급!$A$5:$A$12,0))=0,"-",INDEX(등급!$K$5:$K$12,MATCH($D281,등급!$A$5:$A$12,0))&amp;"~"&amp;INDEX(등급!$L$5:$L$12,MATCH($D281,등급!$A$5:$A$12,0))&amp;"개")</f>
        <v>-</v>
      </c>
    </row>
    <row r="282" customFormat="false" ht="15" hidden="false" customHeight="false" outlineLevel="0" collapsed="false">
      <c r="A282" s="19" t="str">
        <f aca="false">장비_기본!B39</f>
        <v>정화의 성구</v>
      </c>
      <c r="B282" s="19" t="str">
        <f aca="false">장비_기본!C39</f>
        <v>무기</v>
      </c>
      <c r="C282" s="19" t="str">
        <f aca="false">장비_기본!D39</f>
        <v>서포터</v>
      </c>
      <c r="D282" s="8" t="s">
        <v>48</v>
      </c>
      <c r="E282" s="19" t="str">
        <f aca="false">장비_기본!F39</f>
        <v>공격력</v>
      </c>
      <c r="F282" s="20" t="n">
        <f aca="false">장비_기본!G39*INDEX(등급!$C$5:$C$12,MATCH($D282,등급!$A$5:$A$12,0))</f>
        <v>4.88</v>
      </c>
      <c r="G282" s="19" t="str">
        <f aca="false">장비_기본!H39</f>
        <v>회복량</v>
      </c>
      <c r="H282" s="21" t="n">
        <f aca="false">장비_기본!I39*INDEX(등급!$C$5:$C$12,MATCH($D282,등급!$A$5:$A$12,0))</f>
        <v>0.07625</v>
      </c>
      <c r="I282" s="19" t="str">
        <f aca="false">장비_기본!J39</f>
        <v>치유받은 아군 3초간 받는 피해 -[값]%</v>
      </c>
      <c r="J282" s="20" t="n">
        <f aca="false">ROUND(장비_기본!K39*INDEX(등급!$F$5:$F$12,MATCH($D282,등급!$A$5:$A$12,0)),1)</f>
        <v>11.5</v>
      </c>
      <c r="K282" s="19" t="n">
        <f aca="false">INDEX(등급!$D$5:$D$12,MATCH($D282,등급!$A$5:$A$12,0))</f>
        <v>4</v>
      </c>
      <c r="L282" s="19" t="str">
        <f aca="false">IF(INDEX(등급!$H$5:$H$12,MATCH($D282,등급!$A$5:$A$12,0))=0,"-",IF(INDEX(등급!$G$5:$G$12,MATCH($D282,등급!$A$5:$A$12,0))=INDEX(등급!$H$5:$H$12,MATCH($D282,등급!$A$5:$A$12,0)),INDEX(등급!$G$5:$G$12,MATCH($D282,등급!$A$5:$A$12,0))&amp;"칸",INDEX(등급!$G$5:$G$12,MATCH($D282,등급!$A$5:$A$12,0))&amp;"~"&amp;INDEX(등급!$H$5:$H$12,MATCH($D282,등급!$A$5:$A$12,0))&amp;"칸"))</f>
        <v>-</v>
      </c>
      <c r="M282" s="19" t="str">
        <f aca="false">IF(INDEX(등급!$J$5:$J$12,MATCH($D282,등급!$A$5:$A$12,0))=0,"-",IF(INDEX(등급!$I$5:$I$12,MATCH($D282,등급!$A$5:$A$12,0))=INDEX(등급!$J$5:$J$12,MATCH($D282,등급!$A$5:$A$12,0)),INDEX(등급!$I$5:$I$12,MATCH($D282,등급!$A$5:$A$12,0))&amp;"개",INDEX(등급!$I$5:$I$12,MATCH($D282,등급!$A$5:$A$12,0))&amp;"~"&amp;INDEX(등급!$J$5:$J$12,MATCH($D282,등급!$A$5:$A$12,0))&amp;"개"))</f>
        <v>-</v>
      </c>
      <c r="N282" s="19" t="str">
        <f aca="false">IF(INDEX(등급!$L$5:$L$12,MATCH($D282,등급!$A$5:$A$12,0))=0,"-",INDEX(등급!$K$5:$K$12,MATCH($D282,등급!$A$5:$A$12,0))&amp;"~"&amp;INDEX(등급!$L$5:$L$12,MATCH($D282,등급!$A$5:$A$12,0))&amp;"개")</f>
        <v>-</v>
      </c>
    </row>
    <row r="283" customFormat="false" ht="15" hidden="false" customHeight="false" outlineLevel="0" collapsed="false">
      <c r="A283" s="19" t="str">
        <f aca="false">장비_기본!B39</f>
        <v>정화의 성구</v>
      </c>
      <c r="B283" s="19" t="str">
        <f aca="false">장비_기본!C39</f>
        <v>무기</v>
      </c>
      <c r="C283" s="19" t="str">
        <f aca="false">장비_기본!D39</f>
        <v>서포터</v>
      </c>
      <c r="D283" s="8" t="s">
        <v>49</v>
      </c>
      <c r="E283" s="19" t="str">
        <f aca="false">장비_기본!F39</f>
        <v>공격력</v>
      </c>
      <c r="F283" s="20" t="n">
        <f aca="false">장비_기본!G39*INDEX(등급!$C$5:$C$12,MATCH($D283,등급!$A$5:$A$12,0))</f>
        <v>5.12</v>
      </c>
      <c r="G283" s="19" t="str">
        <f aca="false">장비_기본!H39</f>
        <v>회복량</v>
      </c>
      <c r="H283" s="21" t="n">
        <f aca="false">장비_기본!I39*INDEX(등급!$C$5:$C$12,MATCH($D283,등급!$A$5:$A$12,0))</f>
        <v>0.08</v>
      </c>
      <c r="I283" s="19" t="str">
        <f aca="false">장비_기본!J39</f>
        <v>치유받은 아군 3초간 받는 피해 -[값]%</v>
      </c>
      <c r="J283" s="20" t="n">
        <f aca="false">ROUND(장비_기본!K39*INDEX(등급!$F$5:$F$12,MATCH($D283,등급!$A$5:$A$12,0)),1)</f>
        <v>13.3</v>
      </c>
      <c r="K283" s="19" t="n">
        <f aca="false">INDEX(등급!$D$5:$D$12,MATCH($D283,등급!$A$5:$A$12,0))</f>
        <v>4</v>
      </c>
      <c r="L283" s="19" t="str">
        <f aca="false">IF(INDEX(등급!$H$5:$H$12,MATCH($D283,등급!$A$5:$A$12,0))=0,"-",IF(INDEX(등급!$G$5:$G$12,MATCH($D283,등급!$A$5:$A$12,0))=INDEX(등급!$H$5:$H$12,MATCH($D283,등급!$A$5:$A$12,0)),INDEX(등급!$G$5:$G$12,MATCH($D283,등급!$A$5:$A$12,0))&amp;"칸",INDEX(등급!$G$5:$G$12,MATCH($D283,등급!$A$5:$A$12,0))&amp;"~"&amp;INDEX(등급!$H$5:$H$12,MATCH($D283,등급!$A$5:$A$12,0))&amp;"칸"))</f>
        <v>1칸</v>
      </c>
      <c r="M283" s="19" t="str">
        <f aca="false">IF(INDEX(등급!$J$5:$J$12,MATCH($D283,등급!$A$5:$A$12,0))=0,"-",IF(INDEX(등급!$I$5:$I$12,MATCH($D283,등급!$A$5:$A$12,0))=INDEX(등급!$J$5:$J$12,MATCH($D283,등급!$A$5:$A$12,0)),INDEX(등급!$I$5:$I$12,MATCH($D283,등급!$A$5:$A$12,0))&amp;"개",INDEX(등급!$I$5:$I$12,MATCH($D283,등급!$A$5:$A$12,0))&amp;"~"&amp;INDEX(등급!$J$5:$J$12,MATCH($D283,등급!$A$5:$A$12,0))&amp;"개"))</f>
        <v>0~1개</v>
      </c>
      <c r="N283" s="19" t="str">
        <f aca="false">IF(INDEX(등급!$L$5:$L$12,MATCH($D283,등급!$A$5:$A$12,0))=0,"-",INDEX(등급!$K$5:$K$12,MATCH($D283,등급!$A$5:$A$12,0))&amp;"~"&amp;INDEX(등급!$L$5:$L$12,MATCH($D283,등급!$A$5:$A$12,0))&amp;"개")</f>
        <v>0~1개</v>
      </c>
    </row>
    <row r="284" customFormat="false" ht="15" hidden="false" customHeight="false" outlineLevel="0" collapsed="false">
      <c r="A284" s="19" t="str">
        <f aca="false">장비_기본!B39</f>
        <v>정화의 성구</v>
      </c>
      <c r="B284" s="19" t="str">
        <f aca="false">장비_기본!C39</f>
        <v>무기</v>
      </c>
      <c r="C284" s="19" t="str">
        <f aca="false">장비_기본!D39</f>
        <v>서포터</v>
      </c>
      <c r="D284" s="8" t="s">
        <v>51</v>
      </c>
      <c r="E284" s="19" t="str">
        <f aca="false">장비_기본!F39</f>
        <v>공격력</v>
      </c>
      <c r="F284" s="20" t="n">
        <f aca="false">장비_기본!G39*INDEX(등급!$C$5:$C$12,MATCH($D284,등급!$A$5:$A$12,0))</f>
        <v>5.28</v>
      </c>
      <c r="G284" s="19" t="str">
        <f aca="false">장비_기본!H39</f>
        <v>회복량</v>
      </c>
      <c r="H284" s="21" t="n">
        <f aca="false">장비_기본!I39*INDEX(등급!$C$5:$C$12,MATCH($D284,등급!$A$5:$A$12,0))</f>
        <v>0.0825</v>
      </c>
      <c r="I284" s="19" t="str">
        <f aca="false">장비_기본!J39</f>
        <v>치유받은 아군 3초간 받는 피해 -[값]%</v>
      </c>
      <c r="J284" s="20" t="n">
        <f aca="false">ROUND(장비_기본!K39*INDEX(등급!$F$5:$F$12,MATCH($D284,등급!$A$5:$A$12,0)),1)</f>
        <v>15</v>
      </c>
      <c r="K284" s="19" t="n">
        <f aca="false">INDEX(등급!$D$5:$D$12,MATCH($D284,등급!$A$5:$A$12,0))</f>
        <v>4</v>
      </c>
      <c r="L284" s="19" t="str">
        <f aca="false">IF(INDEX(등급!$H$5:$H$12,MATCH($D284,등급!$A$5:$A$12,0))=0,"-",IF(INDEX(등급!$G$5:$G$12,MATCH($D284,등급!$A$5:$A$12,0))=INDEX(등급!$H$5:$H$12,MATCH($D284,등급!$A$5:$A$12,0)),INDEX(등급!$G$5:$G$12,MATCH($D284,등급!$A$5:$A$12,0))&amp;"칸",INDEX(등급!$G$5:$G$12,MATCH($D284,등급!$A$5:$A$12,0))&amp;"~"&amp;INDEX(등급!$H$5:$H$12,MATCH($D284,등급!$A$5:$A$12,0))&amp;"칸"))</f>
        <v>1~3칸</v>
      </c>
      <c r="M284" s="19" t="str">
        <f aca="false">IF(INDEX(등급!$J$5:$J$12,MATCH($D284,등급!$A$5:$A$12,0))=0,"-",IF(INDEX(등급!$I$5:$I$12,MATCH($D284,등급!$A$5:$A$12,0))=INDEX(등급!$J$5:$J$12,MATCH($D284,등급!$A$5:$A$12,0)),INDEX(등급!$I$5:$I$12,MATCH($D284,등급!$A$5:$A$12,0))&amp;"개",INDEX(등급!$I$5:$I$12,MATCH($D284,등급!$A$5:$A$12,0))&amp;"~"&amp;INDEX(등급!$J$5:$J$12,MATCH($D284,등급!$A$5:$A$12,0))&amp;"개"))</f>
        <v>1개</v>
      </c>
      <c r="N284" s="19" t="str">
        <f aca="false">IF(INDEX(등급!$L$5:$L$12,MATCH($D284,등급!$A$5:$A$12,0))=0,"-",INDEX(등급!$K$5:$K$12,MATCH($D284,등급!$A$5:$A$12,0))&amp;"~"&amp;INDEX(등급!$L$5:$L$12,MATCH($D284,등급!$A$5:$A$12,0))&amp;"개")</f>
        <v>0~2개</v>
      </c>
    </row>
    <row r="285" customFormat="false" ht="15" hidden="false" customHeight="false" outlineLevel="0" collapsed="false">
      <c r="A285" s="19" t="str">
        <f aca="false">장비_기본!B40</f>
        <v>순백의 사제복</v>
      </c>
      <c r="B285" s="19" t="str">
        <f aca="false">장비_기본!C40</f>
        <v>갑옷</v>
      </c>
      <c r="C285" s="19" t="str">
        <f aca="false">장비_기본!D40</f>
        <v>서포터</v>
      </c>
      <c r="D285" s="8" t="s">
        <v>43</v>
      </c>
      <c r="E285" s="19" t="str">
        <f aca="false">장비_기본!F40</f>
        <v>체력</v>
      </c>
      <c r="F285" s="20" t="n">
        <f aca="false">장비_기본!G40*INDEX(등급!$C$5:$C$12,MATCH($D285,등급!$A$5:$A$12,0))</f>
        <v>28</v>
      </c>
      <c r="G285" s="19" t="str">
        <f aca="false">장비_기본!H40</f>
        <v>필살기 충전</v>
      </c>
      <c r="H285" s="21" t="n">
        <f aca="false">장비_기본!I40*INDEX(등급!$C$5:$C$12,MATCH($D285,등급!$A$5:$A$12,0))</f>
        <v>0.025</v>
      </c>
      <c r="I285" s="19" t="str">
        <f aca="false">장비_기본!J40</f>
        <v>파티 회복 받는 양 +[값]%</v>
      </c>
      <c r="J285" s="20" t="n">
        <f aca="false">ROUND(장비_기본!K40*INDEX(등급!$F$5:$F$12,MATCH($D285,등급!$A$5:$A$12,0)),1)</f>
        <v>3</v>
      </c>
      <c r="K285" s="19" t="n">
        <f aca="false">INDEX(등급!$D$5:$D$12,MATCH($D285,등급!$A$5:$A$12,0))</f>
        <v>0</v>
      </c>
      <c r="L285" s="19" t="str">
        <f aca="false">IF(INDEX(등급!$H$5:$H$12,MATCH($D285,등급!$A$5:$A$12,0))=0,"-",IF(INDEX(등급!$G$5:$G$12,MATCH($D285,등급!$A$5:$A$12,0))=INDEX(등급!$H$5:$H$12,MATCH($D285,등급!$A$5:$A$12,0)),INDEX(등급!$G$5:$G$12,MATCH($D285,등급!$A$5:$A$12,0))&amp;"칸",INDEX(등급!$G$5:$G$12,MATCH($D285,등급!$A$5:$A$12,0))&amp;"~"&amp;INDEX(등급!$H$5:$H$12,MATCH($D285,등급!$A$5:$A$12,0))&amp;"칸"))</f>
        <v>-</v>
      </c>
      <c r="M285" s="19" t="str">
        <f aca="false">IF(INDEX(등급!$J$5:$J$12,MATCH($D285,등급!$A$5:$A$12,0))=0,"-",IF(INDEX(등급!$I$5:$I$12,MATCH($D285,등급!$A$5:$A$12,0))=INDEX(등급!$J$5:$J$12,MATCH($D285,등급!$A$5:$A$12,0)),INDEX(등급!$I$5:$I$12,MATCH($D285,등급!$A$5:$A$12,0))&amp;"개",INDEX(등급!$I$5:$I$12,MATCH($D285,등급!$A$5:$A$12,0))&amp;"~"&amp;INDEX(등급!$J$5:$J$12,MATCH($D285,등급!$A$5:$A$12,0))&amp;"개"))</f>
        <v>-</v>
      </c>
      <c r="N285" s="19" t="str">
        <f aca="false">IF(INDEX(등급!$L$5:$L$12,MATCH($D285,등급!$A$5:$A$12,0))=0,"-",INDEX(등급!$K$5:$K$12,MATCH($D285,등급!$A$5:$A$12,0))&amp;"~"&amp;INDEX(등급!$L$5:$L$12,MATCH($D285,등급!$A$5:$A$12,0))&amp;"개")</f>
        <v>-</v>
      </c>
    </row>
    <row r="286" customFormat="false" ht="15" hidden="false" customHeight="false" outlineLevel="0" collapsed="false">
      <c r="A286" s="19" t="str">
        <f aca="false">장비_기본!B40</f>
        <v>순백의 사제복</v>
      </c>
      <c r="B286" s="19" t="str">
        <f aca="false">장비_기본!C40</f>
        <v>갑옷</v>
      </c>
      <c r="C286" s="19" t="str">
        <f aca="false">장비_기본!D40</f>
        <v>서포터</v>
      </c>
      <c r="D286" s="8" t="s">
        <v>44</v>
      </c>
      <c r="E286" s="19" t="str">
        <f aca="false">장비_기본!F40</f>
        <v>체력</v>
      </c>
      <c r="F286" s="20" t="n">
        <f aca="false">장비_기본!G40*INDEX(등급!$C$5:$C$12,MATCH($D286,등급!$A$5:$A$12,0))</f>
        <v>40.6</v>
      </c>
      <c r="G286" s="19" t="str">
        <f aca="false">장비_기본!H40</f>
        <v>필살기 충전</v>
      </c>
      <c r="H286" s="21" t="n">
        <f aca="false">장비_기본!I40*INDEX(등급!$C$5:$C$12,MATCH($D286,등급!$A$5:$A$12,0))</f>
        <v>0.03625</v>
      </c>
      <c r="I286" s="19" t="str">
        <f aca="false">장비_기본!J40</f>
        <v>파티 회복 받는 양 +[값]%</v>
      </c>
      <c r="J286" s="20" t="n">
        <f aca="false">ROUND(장비_기본!K40*INDEX(등급!$F$5:$F$12,MATCH($D286,등급!$A$5:$A$12,0)),1)</f>
        <v>4.1</v>
      </c>
      <c r="K286" s="19" t="n">
        <f aca="false">INDEX(등급!$D$5:$D$12,MATCH($D286,등급!$A$5:$A$12,0))</f>
        <v>0</v>
      </c>
      <c r="L286" s="19" t="str">
        <f aca="false">IF(INDEX(등급!$H$5:$H$12,MATCH($D286,등급!$A$5:$A$12,0))=0,"-",IF(INDEX(등급!$G$5:$G$12,MATCH($D286,등급!$A$5:$A$12,0))=INDEX(등급!$H$5:$H$12,MATCH($D286,등급!$A$5:$A$12,0)),INDEX(등급!$G$5:$G$12,MATCH($D286,등급!$A$5:$A$12,0))&amp;"칸",INDEX(등급!$G$5:$G$12,MATCH($D286,등급!$A$5:$A$12,0))&amp;"~"&amp;INDEX(등급!$H$5:$H$12,MATCH($D286,등급!$A$5:$A$12,0))&amp;"칸"))</f>
        <v>-</v>
      </c>
      <c r="M286" s="19" t="str">
        <f aca="false">IF(INDEX(등급!$J$5:$J$12,MATCH($D286,등급!$A$5:$A$12,0))=0,"-",IF(INDEX(등급!$I$5:$I$12,MATCH($D286,등급!$A$5:$A$12,0))=INDEX(등급!$J$5:$J$12,MATCH($D286,등급!$A$5:$A$12,0)),INDEX(등급!$I$5:$I$12,MATCH($D286,등급!$A$5:$A$12,0))&amp;"개",INDEX(등급!$I$5:$I$12,MATCH($D286,등급!$A$5:$A$12,0))&amp;"~"&amp;INDEX(등급!$J$5:$J$12,MATCH($D286,등급!$A$5:$A$12,0))&amp;"개"))</f>
        <v>-</v>
      </c>
      <c r="N286" s="19" t="str">
        <f aca="false">IF(INDEX(등급!$L$5:$L$12,MATCH($D286,등급!$A$5:$A$12,0))=0,"-",INDEX(등급!$K$5:$K$12,MATCH($D286,등급!$A$5:$A$12,0))&amp;"~"&amp;INDEX(등급!$L$5:$L$12,MATCH($D286,등급!$A$5:$A$12,0))&amp;"개")</f>
        <v>-</v>
      </c>
    </row>
    <row r="287" customFormat="false" ht="15" hidden="false" customHeight="false" outlineLevel="0" collapsed="false">
      <c r="A287" s="19" t="str">
        <f aca="false">장비_기본!B40</f>
        <v>순백의 사제복</v>
      </c>
      <c r="B287" s="19" t="str">
        <f aca="false">장비_기본!C40</f>
        <v>갑옷</v>
      </c>
      <c r="C287" s="19" t="str">
        <f aca="false">장비_기본!D40</f>
        <v>서포터</v>
      </c>
      <c r="D287" s="8" t="s">
        <v>45</v>
      </c>
      <c r="E287" s="19" t="str">
        <f aca="false">장비_기본!F40</f>
        <v>체력</v>
      </c>
      <c r="F287" s="20" t="n">
        <f aca="false">장비_기본!G40*INDEX(등급!$C$5:$C$12,MATCH($D287,등급!$A$5:$A$12,0))</f>
        <v>47.6</v>
      </c>
      <c r="G287" s="19" t="str">
        <f aca="false">장비_기본!H40</f>
        <v>필살기 충전</v>
      </c>
      <c r="H287" s="21" t="n">
        <f aca="false">장비_기본!I40*INDEX(등급!$C$5:$C$12,MATCH($D287,등급!$A$5:$A$12,0))</f>
        <v>0.0425</v>
      </c>
      <c r="I287" s="19" t="str">
        <f aca="false">장비_기본!J40</f>
        <v>파티 회복 받는 양 +[값]%</v>
      </c>
      <c r="J287" s="20" t="n">
        <f aca="false">ROUND(장비_기본!K40*INDEX(등급!$F$5:$F$12,MATCH($D287,등급!$A$5:$A$12,0)),1)</f>
        <v>4.5</v>
      </c>
      <c r="K287" s="19" t="n">
        <f aca="false">INDEX(등급!$D$5:$D$12,MATCH($D287,등급!$A$5:$A$12,0))</f>
        <v>1</v>
      </c>
      <c r="L287" s="19" t="str">
        <f aca="false">IF(INDEX(등급!$H$5:$H$12,MATCH($D287,등급!$A$5:$A$12,0))=0,"-",IF(INDEX(등급!$G$5:$G$12,MATCH($D287,등급!$A$5:$A$12,0))=INDEX(등급!$H$5:$H$12,MATCH($D287,등급!$A$5:$A$12,0)),INDEX(등급!$G$5:$G$12,MATCH($D287,등급!$A$5:$A$12,0))&amp;"칸",INDEX(등급!$G$5:$G$12,MATCH($D287,등급!$A$5:$A$12,0))&amp;"~"&amp;INDEX(등급!$H$5:$H$12,MATCH($D287,등급!$A$5:$A$12,0))&amp;"칸"))</f>
        <v>-</v>
      </c>
      <c r="M287" s="19" t="str">
        <f aca="false">IF(INDEX(등급!$J$5:$J$12,MATCH($D287,등급!$A$5:$A$12,0))=0,"-",IF(INDEX(등급!$I$5:$I$12,MATCH($D287,등급!$A$5:$A$12,0))=INDEX(등급!$J$5:$J$12,MATCH($D287,등급!$A$5:$A$12,0)),INDEX(등급!$I$5:$I$12,MATCH($D287,등급!$A$5:$A$12,0))&amp;"개",INDEX(등급!$I$5:$I$12,MATCH($D287,등급!$A$5:$A$12,0))&amp;"~"&amp;INDEX(등급!$J$5:$J$12,MATCH($D287,등급!$A$5:$A$12,0))&amp;"개"))</f>
        <v>-</v>
      </c>
      <c r="N287" s="19" t="str">
        <f aca="false">IF(INDEX(등급!$L$5:$L$12,MATCH($D287,등급!$A$5:$A$12,0))=0,"-",INDEX(등급!$K$5:$K$12,MATCH($D287,등급!$A$5:$A$12,0))&amp;"~"&amp;INDEX(등급!$L$5:$L$12,MATCH($D287,등급!$A$5:$A$12,0))&amp;"개")</f>
        <v>-</v>
      </c>
    </row>
    <row r="288" customFormat="false" ht="15" hidden="false" customHeight="false" outlineLevel="0" collapsed="false">
      <c r="A288" s="19" t="str">
        <f aca="false">장비_기본!B40</f>
        <v>순백의 사제복</v>
      </c>
      <c r="B288" s="19" t="str">
        <f aca="false">장비_기본!C40</f>
        <v>갑옷</v>
      </c>
      <c r="C288" s="19" t="str">
        <f aca="false">장비_기본!D40</f>
        <v>서포터</v>
      </c>
      <c r="D288" s="8" t="s">
        <v>46</v>
      </c>
      <c r="E288" s="19" t="str">
        <f aca="false">장비_기본!F40</f>
        <v>체력</v>
      </c>
      <c r="F288" s="20" t="n">
        <f aca="false">장비_기본!G40*INDEX(등급!$C$5:$C$12,MATCH($D288,등급!$A$5:$A$12,0))</f>
        <v>58.8</v>
      </c>
      <c r="G288" s="19" t="str">
        <f aca="false">장비_기본!H40</f>
        <v>필살기 충전</v>
      </c>
      <c r="H288" s="21" t="n">
        <f aca="false">장비_기본!I40*INDEX(등급!$C$5:$C$12,MATCH($D288,등급!$A$5:$A$12,0))</f>
        <v>0.0525</v>
      </c>
      <c r="I288" s="19" t="str">
        <f aca="false">장비_기본!J40</f>
        <v>파티 회복 받는 양 +[값]%</v>
      </c>
      <c r="J288" s="20" t="n">
        <f aca="false">ROUND(장비_기본!K40*INDEX(등급!$F$5:$F$12,MATCH($D288,등급!$A$5:$A$12,0)),1)</f>
        <v>5.3</v>
      </c>
      <c r="K288" s="19" t="n">
        <f aca="false">INDEX(등급!$D$5:$D$12,MATCH($D288,등급!$A$5:$A$12,0))</f>
        <v>2</v>
      </c>
      <c r="L288" s="19" t="str">
        <f aca="false">IF(INDEX(등급!$H$5:$H$12,MATCH($D288,등급!$A$5:$A$12,0))=0,"-",IF(INDEX(등급!$G$5:$G$12,MATCH($D288,등급!$A$5:$A$12,0))=INDEX(등급!$H$5:$H$12,MATCH($D288,등급!$A$5:$A$12,0)),INDEX(등급!$G$5:$G$12,MATCH($D288,등급!$A$5:$A$12,0))&amp;"칸",INDEX(등급!$G$5:$G$12,MATCH($D288,등급!$A$5:$A$12,0))&amp;"~"&amp;INDEX(등급!$H$5:$H$12,MATCH($D288,등급!$A$5:$A$12,0))&amp;"칸"))</f>
        <v>-</v>
      </c>
      <c r="M288" s="19" t="str">
        <f aca="false">IF(INDEX(등급!$J$5:$J$12,MATCH($D288,등급!$A$5:$A$12,0))=0,"-",IF(INDEX(등급!$I$5:$I$12,MATCH($D288,등급!$A$5:$A$12,0))=INDEX(등급!$J$5:$J$12,MATCH($D288,등급!$A$5:$A$12,0)),INDEX(등급!$I$5:$I$12,MATCH($D288,등급!$A$5:$A$12,0))&amp;"개",INDEX(등급!$I$5:$I$12,MATCH($D288,등급!$A$5:$A$12,0))&amp;"~"&amp;INDEX(등급!$J$5:$J$12,MATCH($D288,등급!$A$5:$A$12,0))&amp;"개"))</f>
        <v>-</v>
      </c>
      <c r="N288" s="19" t="str">
        <f aca="false">IF(INDEX(등급!$L$5:$L$12,MATCH($D288,등급!$A$5:$A$12,0))=0,"-",INDEX(등급!$K$5:$K$12,MATCH($D288,등급!$A$5:$A$12,0))&amp;"~"&amp;INDEX(등급!$L$5:$L$12,MATCH($D288,등급!$A$5:$A$12,0))&amp;"개")</f>
        <v>-</v>
      </c>
    </row>
    <row r="289" customFormat="false" ht="15" hidden="false" customHeight="false" outlineLevel="0" collapsed="false">
      <c r="A289" s="19" t="str">
        <f aca="false">장비_기본!B40</f>
        <v>순백의 사제복</v>
      </c>
      <c r="B289" s="19" t="str">
        <f aca="false">장비_기본!C40</f>
        <v>갑옷</v>
      </c>
      <c r="C289" s="19" t="str">
        <f aca="false">장비_기본!D40</f>
        <v>서포터</v>
      </c>
      <c r="D289" s="8" t="s">
        <v>47</v>
      </c>
      <c r="E289" s="19" t="str">
        <f aca="false">장비_기본!F40</f>
        <v>체력</v>
      </c>
      <c r="F289" s="20" t="n">
        <f aca="false">장비_기본!G40*INDEX(등급!$C$5:$C$12,MATCH($D289,등급!$A$5:$A$12,0))</f>
        <v>71.4</v>
      </c>
      <c r="G289" s="19" t="str">
        <f aca="false">장비_기본!H40</f>
        <v>필살기 충전</v>
      </c>
      <c r="H289" s="21" t="n">
        <f aca="false">장비_기본!I40*INDEX(등급!$C$5:$C$12,MATCH($D289,등급!$A$5:$A$12,0))</f>
        <v>0.06375</v>
      </c>
      <c r="I289" s="19" t="str">
        <f aca="false">장비_기본!J40</f>
        <v>파티 회복 받는 양 +[값]%</v>
      </c>
      <c r="J289" s="20" t="n">
        <f aca="false">ROUND(장비_기본!K40*INDEX(등급!$F$5:$F$12,MATCH($D289,등급!$A$5:$A$12,0)),1)</f>
        <v>6</v>
      </c>
      <c r="K289" s="19" t="n">
        <f aca="false">INDEX(등급!$D$5:$D$12,MATCH($D289,등급!$A$5:$A$12,0))</f>
        <v>3</v>
      </c>
      <c r="L289" s="19" t="str">
        <f aca="false">IF(INDEX(등급!$H$5:$H$12,MATCH($D289,등급!$A$5:$A$12,0))=0,"-",IF(INDEX(등급!$G$5:$G$12,MATCH($D289,등급!$A$5:$A$12,0))=INDEX(등급!$H$5:$H$12,MATCH($D289,등급!$A$5:$A$12,0)),INDEX(등급!$G$5:$G$12,MATCH($D289,등급!$A$5:$A$12,0))&amp;"칸",INDEX(등급!$G$5:$G$12,MATCH($D289,등급!$A$5:$A$12,0))&amp;"~"&amp;INDEX(등급!$H$5:$H$12,MATCH($D289,등급!$A$5:$A$12,0))&amp;"칸"))</f>
        <v>-</v>
      </c>
      <c r="M289" s="19" t="str">
        <f aca="false">IF(INDEX(등급!$J$5:$J$12,MATCH($D289,등급!$A$5:$A$12,0))=0,"-",IF(INDEX(등급!$I$5:$I$12,MATCH($D289,등급!$A$5:$A$12,0))=INDEX(등급!$J$5:$J$12,MATCH($D289,등급!$A$5:$A$12,0)),INDEX(등급!$I$5:$I$12,MATCH($D289,등급!$A$5:$A$12,0))&amp;"개",INDEX(등급!$I$5:$I$12,MATCH($D289,등급!$A$5:$A$12,0))&amp;"~"&amp;INDEX(등급!$J$5:$J$12,MATCH($D289,등급!$A$5:$A$12,0))&amp;"개"))</f>
        <v>-</v>
      </c>
      <c r="N289" s="19" t="str">
        <f aca="false">IF(INDEX(등급!$L$5:$L$12,MATCH($D289,등급!$A$5:$A$12,0))=0,"-",INDEX(등급!$K$5:$K$12,MATCH($D289,등급!$A$5:$A$12,0))&amp;"~"&amp;INDEX(등급!$L$5:$L$12,MATCH($D289,등급!$A$5:$A$12,0))&amp;"개")</f>
        <v>-</v>
      </c>
    </row>
    <row r="290" customFormat="false" ht="15" hidden="false" customHeight="false" outlineLevel="0" collapsed="false">
      <c r="A290" s="19" t="str">
        <f aca="false">장비_기본!B40</f>
        <v>순백의 사제복</v>
      </c>
      <c r="B290" s="19" t="str">
        <f aca="false">장비_기본!C40</f>
        <v>갑옷</v>
      </c>
      <c r="C290" s="19" t="str">
        <f aca="false">장비_기본!D40</f>
        <v>서포터</v>
      </c>
      <c r="D290" s="8" t="s">
        <v>48</v>
      </c>
      <c r="E290" s="19" t="str">
        <f aca="false">장비_기본!F40</f>
        <v>체력</v>
      </c>
      <c r="F290" s="20" t="n">
        <f aca="false">장비_기본!G40*INDEX(등급!$C$5:$C$12,MATCH($D290,등급!$A$5:$A$12,0))</f>
        <v>85.4</v>
      </c>
      <c r="G290" s="19" t="str">
        <f aca="false">장비_기본!H40</f>
        <v>필살기 충전</v>
      </c>
      <c r="H290" s="21" t="n">
        <f aca="false">장비_기본!I40*INDEX(등급!$C$5:$C$12,MATCH($D290,등급!$A$5:$A$12,0))</f>
        <v>0.07625</v>
      </c>
      <c r="I290" s="19" t="str">
        <f aca="false">장비_기본!J40</f>
        <v>파티 회복 받는 양 +[값]%</v>
      </c>
      <c r="J290" s="20" t="n">
        <f aca="false">ROUND(장비_기본!K40*INDEX(등급!$F$5:$F$12,MATCH($D290,등급!$A$5:$A$12,0)),1)</f>
        <v>6.9</v>
      </c>
      <c r="K290" s="19" t="n">
        <f aca="false">INDEX(등급!$D$5:$D$12,MATCH($D290,등급!$A$5:$A$12,0))</f>
        <v>4</v>
      </c>
      <c r="L290" s="19" t="str">
        <f aca="false">IF(INDEX(등급!$H$5:$H$12,MATCH($D290,등급!$A$5:$A$12,0))=0,"-",IF(INDEX(등급!$G$5:$G$12,MATCH($D290,등급!$A$5:$A$12,0))=INDEX(등급!$H$5:$H$12,MATCH($D290,등급!$A$5:$A$12,0)),INDEX(등급!$G$5:$G$12,MATCH($D290,등급!$A$5:$A$12,0))&amp;"칸",INDEX(등급!$G$5:$G$12,MATCH($D290,등급!$A$5:$A$12,0))&amp;"~"&amp;INDEX(등급!$H$5:$H$12,MATCH($D290,등급!$A$5:$A$12,0))&amp;"칸"))</f>
        <v>-</v>
      </c>
      <c r="M290" s="19" t="str">
        <f aca="false">IF(INDEX(등급!$J$5:$J$12,MATCH($D290,등급!$A$5:$A$12,0))=0,"-",IF(INDEX(등급!$I$5:$I$12,MATCH($D290,등급!$A$5:$A$12,0))=INDEX(등급!$J$5:$J$12,MATCH($D290,등급!$A$5:$A$12,0)),INDEX(등급!$I$5:$I$12,MATCH($D290,등급!$A$5:$A$12,0))&amp;"개",INDEX(등급!$I$5:$I$12,MATCH($D290,등급!$A$5:$A$12,0))&amp;"~"&amp;INDEX(등급!$J$5:$J$12,MATCH($D290,등급!$A$5:$A$12,0))&amp;"개"))</f>
        <v>-</v>
      </c>
      <c r="N290" s="19" t="str">
        <f aca="false">IF(INDEX(등급!$L$5:$L$12,MATCH($D290,등급!$A$5:$A$12,0))=0,"-",INDEX(등급!$K$5:$K$12,MATCH($D290,등급!$A$5:$A$12,0))&amp;"~"&amp;INDEX(등급!$L$5:$L$12,MATCH($D290,등급!$A$5:$A$12,0))&amp;"개")</f>
        <v>-</v>
      </c>
    </row>
    <row r="291" customFormat="false" ht="15" hidden="false" customHeight="false" outlineLevel="0" collapsed="false">
      <c r="A291" s="19" t="str">
        <f aca="false">장비_기본!B40</f>
        <v>순백의 사제복</v>
      </c>
      <c r="B291" s="19" t="str">
        <f aca="false">장비_기본!C40</f>
        <v>갑옷</v>
      </c>
      <c r="C291" s="19" t="str">
        <f aca="false">장비_기본!D40</f>
        <v>서포터</v>
      </c>
      <c r="D291" s="8" t="s">
        <v>49</v>
      </c>
      <c r="E291" s="19" t="str">
        <f aca="false">장비_기본!F40</f>
        <v>체력</v>
      </c>
      <c r="F291" s="20" t="n">
        <f aca="false">장비_기본!G40*INDEX(등급!$C$5:$C$12,MATCH($D291,등급!$A$5:$A$12,0))</f>
        <v>89.6</v>
      </c>
      <c r="G291" s="19" t="str">
        <f aca="false">장비_기본!H40</f>
        <v>필살기 충전</v>
      </c>
      <c r="H291" s="21" t="n">
        <f aca="false">장비_기본!I40*INDEX(등급!$C$5:$C$12,MATCH($D291,등급!$A$5:$A$12,0))</f>
        <v>0.08</v>
      </c>
      <c r="I291" s="19" t="str">
        <f aca="false">장비_기본!J40</f>
        <v>파티 회복 받는 양 +[값]%</v>
      </c>
      <c r="J291" s="20" t="n">
        <f aca="false">ROUND(장비_기본!K40*INDEX(등급!$F$5:$F$12,MATCH($D291,등급!$A$5:$A$12,0)),1)</f>
        <v>8</v>
      </c>
      <c r="K291" s="19" t="n">
        <f aca="false">INDEX(등급!$D$5:$D$12,MATCH($D291,등급!$A$5:$A$12,0))</f>
        <v>4</v>
      </c>
      <c r="L291" s="19" t="str">
        <f aca="false">IF(INDEX(등급!$H$5:$H$12,MATCH($D291,등급!$A$5:$A$12,0))=0,"-",IF(INDEX(등급!$G$5:$G$12,MATCH($D291,등급!$A$5:$A$12,0))=INDEX(등급!$H$5:$H$12,MATCH($D291,등급!$A$5:$A$12,0)),INDEX(등급!$G$5:$G$12,MATCH($D291,등급!$A$5:$A$12,0))&amp;"칸",INDEX(등급!$G$5:$G$12,MATCH($D291,등급!$A$5:$A$12,0))&amp;"~"&amp;INDEX(등급!$H$5:$H$12,MATCH($D291,등급!$A$5:$A$12,0))&amp;"칸"))</f>
        <v>1칸</v>
      </c>
      <c r="M291" s="19" t="str">
        <f aca="false">IF(INDEX(등급!$J$5:$J$12,MATCH($D291,등급!$A$5:$A$12,0))=0,"-",IF(INDEX(등급!$I$5:$I$12,MATCH($D291,등급!$A$5:$A$12,0))=INDEX(등급!$J$5:$J$12,MATCH($D291,등급!$A$5:$A$12,0)),INDEX(등급!$I$5:$I$12,MATCH($D291,등급!$A$5:$A$12,0))&amp;"개",INDEX(등급!$I$5:$I$12,MATCH($D291,등급!$A$5:$A$12,0))&amp;"~"&amp;INDEX(등급!$J$5:$J$12,MATCH($D291,등급!$A$5:$A$12,0))&amp;"개"))</f>
        <v>0~1개</v>
      </c>
      <c r="N291" s="19" t="str">
        <f aca="false">IF(INDEX(등급!$L$5:$L$12,MATCH($D291,등급!$A$5:$A$12,0))=0,"-",INDEX(등급!$K$5:$K$12,MATCH($D291,등급!$A$5:$A$12,0))&amp;"~"&amp;INDEX(등급!$L$5:$L$12,MATCH($D291,등급!$A$5:$A$12,0))&amp;"개")</f>
        <v>0~1개</v>
      </c>
    </row>
    <row r="292" customFormat="false" ht="15" hidden="false" customHeight="false" outlineLevel="0" collapsed="false">
      <c r="A292" s="19" t="str">
        <f aca="false">장비_기본!B40</f>
        <v>순백의 사제복</v>
      </c>
      <c r="B292" s="19" t="str">
        <f aca="false">장비_기본!C40</f>
        <v>갑옷</v>
      </c>
      <c r="C292" s="19" t="str">
        <f aca="false">장비_기본!D40</f>
        <v>서포터</v>
      </c>
      <c r="D292" s="8" t="s">
        <v>51</v>
      </c>
      <c r="E292" s="19" t="str">
        <f aca="false">장비_기본!F40</f>
        <v>체력</v>
      </c>
      <c r="F292" s="20" t="n">
        <f aca="false">장비_기본!G40*INDEX(등급!$C$5:$C$12,MATCH($D292,등급!$A$5:$A$12,0))</f>
        <v>92.4</v>
      </c>
      <c r="G292" s="19" t="str">
        <f aca="false">장비_기본!H40</f>
        <v>필살기 충전</v>
      </c>
      <c r="H292" s="21" t="n">
        <f aca="false">장비_기본!I40*INDEX(등급!$C$5:$C$12,MATCH($D292,등급!$A$5:$A$12,0))</f>
        <v>0.0825</v>
      </c>
      <c r="I292" s="19" t="str">
        <f aca="false">장비_기본!J40</f>
        <v>파티 회복 받는 양 +[값]%</v>
      </c>
      <c r="J292" s="20" t="n">
        <f aca="false">ROUND(장비_기본!K40*INDEX(등급!$F$5:$F$12,MATCH($D292,등급!$A$5:$A$12,0)),1)</f>
        <v>9</v>
      </c>
      <c r="K292" s="19" t="n">
        <f aca="false">INDEX(등급!$D$5:$D$12,MATCH($D292,등급!$A$5:$A$12,0))</f>
        <v>4</v>
      </c>
      <c r="L292" s="19" t="str">
        <f aca="false">IF(INDEX(등급!$H$5:$H$12,MATCH($D292,등급!$A$5:$A$12,0))=0,"-",IF(INDEX(등급!$G$5:$G$12,MATCH($D292,등급!$A$5:$A$12,0))=INDEX(등급!$H$5:$H$12,MATCH($D292,등급!$A$5:$A$12,0)),INDEX(등급!$G$5:$G$12,MATCH($D292,등급!$A$5:$A$12,0))&amp;"칸",INDEX(등급!$G$5:$G$12,MATCH($D292,등급!$A$5:$A$12,0))&amp;"~"&amp;INDEX(등급!$H$5:$H$12,MATCH($D292,등급!$A$5:$A$12,0))&amp;"칸"))</f>
        <v>1~3칸</v>
      </c>
      <c r="M292" s="19" t="str">
        <f aca="false">IF(INDEX(등급!$J$5:$J$12,MATCH($D292,등급!$A$5:$A$12,0))=0,"-",IF(INDEX(등급!$I$5:$I$12,MATCH($D292,등급!$A$5:$A$12,0))=INDEX(등급!$J$5:$J$12,MATCH($D292,등급!$A$5:$A$12,0)),INDEX(등급!$I$5:$I$12,MATCH($D292,등급!$A$5:$A$12,0))&amp;"개",INDEX(등급!$I$5:$I$12,MATCH($D292,등급!$A$5:$A$12,0))&amp;"~"&amp;INDEX(등급!$J$5:$J$12,MATCH($D292,등급!$A$5:$A$12,0))&amp;"개"))</f>
        <v>1개</v>
      </c>
      <c r="N292" s="19" t="str">
        <f aca="false">IF(INDEX(등급!$L$5:$L$12,MATCH($D292,등급!$A$5:$A$12,0))=0,"-",INDEX(등급!$K$5:$K$12,MATCH($D292,등급!$A$5:$A$12,0))&amp;"~"&amp;INDEX(등급!$L$5:$L$12,MATCH($D292,등급!$A$5:$A$12,0))&amp;"개")</f>
        <v>0~2개</v>
      </c>
    </row>
    <row r="293" customFormat="false" ht="15" hidden="false" customHeight="false" outlineLevel="0" collapsed="false">
      <c r="A293" s="19" t="str">
        <f aca="false">장비_기본!B41</f>
        <v>수호의 성의</v>
      </c>
      <c r="B293" s="19" t="str">
        <f aca="false">장비_기본!C41</f>
        <v>갑옷</v>
      </c>
      <c r="C293" s="19" t="str">
        <f aca="false">장비_기본!D41</f>
        <v>서포터</v>
      </c>
      <c r="D293" s="8" t="s">
        <v>43</v>
      </c>
      <c r="E293" s="19" t="str">
        <f aca="false">장비_기본!F41</f>
        <v>체력</v>
      </c>
      <c r="F293" s="20" t="n">
        <f aca="false">장비_기본!G41*INDEX(등급!$C$5:$C$12,MATCH($D293,등급!$A$5:$A$12,0))</f>
        <v>28</v>
      </c>
      <c r="G293" s="19" t="str">
        <f aca="false">장비_기본!H41</f>
        <v>필살기 충전</v>
      </c>
      <c r="H293" s="21" t="n">
        <f aca="false">장비_기본!I41*INDEX(등급!$C$5:$C$12,MATCH($D293,등급!$A$5:$A$12,0))</f>
        <v>0.025</v>
      </c>
      <c r="I293" s="19" t="str">
        <f aca="false">장비_기본!J41</f>
        <v>③ 생명의 나무 지속 +[값]초</v>
      </c>
      <c r="J293" s="20" t="n">
        <f aca="false">ROUND(장비_기본!K41*INDEX(등급!$F$5:$F$12,MATCH($D293,등급!$A$5:$A$12,0)),1)</f>
        <v>0.5</v>
      </c>
      <c r="K293" s="19" t="n">
        <f aca="false">INDEX(등급!$D$5:$D$12,MATCH($D293,등급!$A$5:$A$12,0))</f>
        <v>0</v>
      </c>
      <c r="L293" s="19" t="str">
        <f aca="false">IF(INDEX(등급!$H$5:$H$12,MATCH($D293,등급!$A$5:$A$12,0))=0,"-",IF(INDEX(등급!$G$5:$G$12,MATCH($D293,등급!$A$5:$A$12,0))=INDEX(등급!$H$5:$H$12,MATCH($D293,등급!$A$5:$A$12,0)),INDEX(등급!$G$5:$G$12,MATCH($D293,등급!$A$5:$A$12,0))&amp;"칸",INDEX(등급!$G$5:$G$12,MATCH($D293,등급!$A$5:$A$12,0))&amp;"~"&amp;INDEX(등급!$H$5:$H$12,MATCH($D293,등급!$A$5:$A$12,0))&amp;"칸"))</f>
        <v>-</v>
      </c>
      <c r="M293" s="19" t="str">
        <f aca="false">IF(INDEX(등급!$J$5:$J$12,MATCH($D293,등급!$A$5:$A$12,0))=0,"-",IF(INDEX(등급!$I$5:$I$12,MATCH($D293,등급!$A$5:$A$12,0))=INDEX(등급!$J$5:$J$12,MATCH($D293,등급!$A$5:$A$12,0)),INDEX(등급!$I$5:$I$12,MATCH($D293,등급!$A$5:$A$12,0))&amp;"개",INDEX(등급!$I$5:$I$12,MATCH($D293,등급!$A$5:$A$12,0))&amp;"~"&amp;INDEX(등급!$J$5:$J$12,MATCH($D293,등급!$A$5:$A$12,0))&amp;"개"))</f>
        <v>-</v>
      </c>
      <c r="N293" s="19" t="str">
        <f aca="false">IF(INDEX(등급!$L$5:$L$12,MATCH($D293,등급!$A$5:$A$12,0))=0,"-",INDEX(등급!$K$5:$K$12,MATCH($D293,등급!$A$5:$A$12,0))&amp;"~"&amp;INDEX(등급!$L$5:$L$12,MATCH($D293,등급!$A$5:$A$12,0))&amp;"개")</f>
        <v>-</v>
      </c>
    </row>
    <row r="294" customFormat="false" ht="15" hidden="false" customHeight="false" outlineLevel="0" collapsed="false">
      <c r="A294" s="19" t="str">
        <f aca="false">장비_기본!B41</f>
        <v>수호의 성의</v>
      </c>
      <c r="B294" s="19" t="str">
        <f aca="false">장비_기본!C41</f>
        <v>갑옷</v>
      </c>
      <c r="C294" s="19" t="str">
        <f aca="false">장비_기본!D41</f>
        <v>서포터</v>
      </c>
      <c r="D294" s="8" t="s">
        <v>44</v>
      </c>
      <c r="E294" s="19" t="str">
        <f aca="false">장비_기본!F41</f>
        <v>체력</v>
      </c>
      <c r="F294" s="20" t="n">
        <f aca="false">장비_기본!G41*INDEX(등급!$C$5:$C$12,MATCH($D294,등급!$A$5:$A$12,0))</f>
        <v>40.6</v>
      </c>
      <c r="G294" s="19" t="str">
        <f aca="false">장비_기본!H41</f>
        <v>필살기 충전</v>
      </c>
      <c r="H294" s="21" t="n">
        <f aca="false">장비_기본!I41*INDEX(등급!$C$5:$C$12,MATCH($D294,등급!$A$5:$A$12,0))</f>
        <v>0.03625</v>
      </c>
      <c r="I294" s="19" t="str">
        <f aca="false">장비_기본!J41</f>
        <v>③ 생명의 나무 지속 +[값]초</v>
      </c>
      <c r="J294" s="20" t="n">
        <f aca="false">ROUND(장비_기본!K41*INDEX(등급!$F$5:$F$12,MATCH($D294,등급!$A$5:$A$12,0)),1)</f>
        <v>0.7</v>
      </c>
      <c r="K294" s="19" t="n">
        <f aca="false">INDEX(등급!$D$5:$D$12,MATCH($D294,등급!$A$5:$A$12,0))</f>
        <v>0</v>
      </c>
      <c r="L294" s="19" t="str">
        <f aca="false">IF(INDEX(등급!$H$5:$H$12,MATCH($D294,등급!$A$5:$A$12,0))=0,"-",IF(INDEX(등급!$G$5:$G$12,MATCH($D294,등급!$A$5:$A$12,0))=INDEX(등급!$H$5:$H$12,MATCH($D294,등급!$A$5:$A$12,0)),INDEX(등급!$G$5:$G$12,MATCH($D294,등급!$A$5:$A$12,0))&amp;"칸",INDEX(등급!$G$5:$G$12,MATCH($D294,등급!$A$5:$A$12,0))&amp;"~"&amp;INDEX(등급!$H$5:$H$12,MATCH($D294,등급!$A$5:$A$12,0))&amp;"칸"))</f>
        <v>-</v>
      </c>
      <c r="M294" s="19" t="str">
        <f aca="false">IF(INDEX(등급!$J$5:$J$12,MATCH($D294,등급!$A$5:$A$12,0))=0,"-",IF(INDEX(등급!$I$5:$I$12,MATCH($D294,등급!$A$5:$A$12,0))=INDEX(등급!$J$5:$J$12,MATCH($D294,등급!$A$5:$A$12,0)),INDEX(등급!$I$5:$I$12,MATCH($D294,등급!$A$5:$A$12,0))&amp;"개",INDEX(등급!$I$5:$I$12,MATCH($D294,등급!$A$5:$A$12,0))&amp;"~"&amp;INDEX(등급!$J$5:$J$12,MATCH($D294,등급!$A$5:$A$12,0))&amp;"개"))</f>
        <v>-</v>
      </c>
      <c r="N294" s="19" t="str">
        <f aca="false">IF(INDEX(등급!$L$5:$L$12,MATCH($D294,등급!$A$5:$A$12,0))=0,"-",INDEX(등급!$K$5:$K$12,MATCH($D294,등급!$A$5:$A$12,0))&amp;"~"&amp;INDEX(등급!$L$5:$L$12,MATCH($D294,등급!$A$5:$A$12,0))&amp;"개")</f>
        <v>-</v>
      </c>
    </row>
    <row r="295" customFormat="false" ht="15" hidden="false" customHeight="false" outlineLevel="0" collapsed="false">
      <c r="A295" s="19" t="str">
        <f aca="false">장비_기본!B41</f>
        <v>수호의 성의</v>
      </c>
      <c r="B295" s="19" t="str">
        <f aca="false">장비_기본!C41</f>
        <v>갑옷</v>
      </c>
      <c r="C295" s="19" t="str">
        <f aca="false">장비_기본!D41</f>
        <v>서포터</v>
      </c>
      <c r="D295" s="8" t="s">
        <v>45</v>
      </c>
      <c r="E295" s="19" t="str">
        <f aca="false">장비_기본!F41</f>
        <v>체력</v>
      </c>
      <c r="F295" s="20" t="n">
        <f aca="false">장비_기본!G41*INDEX(등급!$C$5:$C$12,MATCH($D295,등급!$A$5:$A$12,0))</f>
        <v>47.6</v>
      </c>
      <c r="G295" s="19" t="str">
        <f aca="false">장비_기본!H41</f>
        <v>필살기 충전</v>
      </c>
      <c r="H295" s="21" t="n">
        <f aca="false">장비_기본!I41*INDEX(등급!$C$5:$C$12,MATCH($D295,등급!$A$5:$A$12,0))</f>
        <v>0.0425</v>
      </c>
      <c r="I295" s="19" t="str">
        <f aca="false">장비_기본!J41</f>
        <v>③ 생명의 나무 지속 +[값]초</v>
      </c>
      <c r="J295" s="20" t="n">
        <f aca="false">ROUND(장비_기본!K41*INDEX(등급!$F$5:$F$12,MATCH($D295,등급!$A$5:$A$12,0)),1)</f>
        <v>0.8</v>
      </c>
      <c r="K295" s="19" t="n">
        <f aca="false">INDEX(등급!$D$5:$D$12,MATCH($D295,등급!$A$5:$A$12,0))</f>
        <v>1</v>
      </c>
      <c r="L295" s="19" t="str">
        <f aca="false">IF(INDEX(등급!$H$5:$H$12,MATCH($D295,등급!$A$5:$A$12,0))=0,"-",IF(INDEX(등급!$G$5:$G$12,MATCH($D295,등급!$A$5:$A$12,0))=INDEX(등급!$H$5:$H$12,MATCH($D295,등급!$A$5:$A$12,0)),INDEX(등급!$G$5:$G$12,MATCH($D295,등급!$A$5:$A$12,0))&amp;"칸",INDEX(등급!$G$5:$G$12,MATCH($D295,등급!$A$5:$A$12,0))&amp;"~"&amp;INDEX(등급!$H$5:$H$12,MATCH($D295,등급!$A$5:$A$12,0))&amp;"칸"))</f>
        <v>-</v>
      </c>
      <c r="M295" s="19" t="str">
        <f aca="false">IF(INDEX(등급!$J$5:$J$12,MATCH($D295,등급!$A$5:$A$12,0))=0,"-",IF(INDEX(등급!$I$5:$I$12,MATCH($D295,등급!$A$5:$A$12,0))=INDEX(등급!$J$5:$J$12,MATCH($D295,등급!$A$5:$A$12,0)),INDEX(등급!$I$5:$I$12,MATCH($D295,등급!$A$5:$A$12,0))&amp;"개",INDEX(등급!$I$5:$I$12,MATCH($D295,등급!$A$5:$A$12,0))&amp;"~"&amp;INDEX(등급!$J$5:$J$12,MATCH($D295,등급!$A$5:$A$12,0))&amp;"개"))</f>
        <v>-</v>
      </c>
      <c r="N295" s="19" t="str">
        <f aca="false">IF(INDEX(등급!$L$5:$L$12,MATCH($D295,등급!$A$5:$A$12,0))=0,"-",INDEX(등급!$K$5:$K$12,MATCH($D295,등급!$A$5:$A$12,0))&amp;"~"&amp;INDEX(등급!$L$5:$L$12,MATCH($D295,등급!$A$5:$A$12,0))&amp;"개")</f>
        <v>-</v>
      </c>
    </row>
    <row r="296" customFormat="false" ht="15" hidden="false" customHeight="false" outlineLevel="0" collapsed="false">
      <c r="A296" s="19" t="str">
        <f aca="false">장비_기본!B41</f>
        <v>수호의 성의</v>
      </c>
      <c r="B296" s="19" t="str">
        <f aca="false">장비_기본!C41</f>
        <v>갑옷</v>
      </c>
      <c r="C296" s="19" t="str">
        <f aca="false">장비_기본!D41</f>
        <v>서포터</v>
      </c>
      <c r="D296" s="8" t="s">
        <v>46</v>
      </c>
      <c r="E296" s="19" t="str">
        <f aca="false">장비_기본!F41</f>
        <v>체력</v>
      </c>
      <c r="F296" s="20" t="n">
        <f aca="false">장비_기본!G41*INDEX(등급!$C$5:$C$12,MATCH($D296,등급!$A$5:$A$12,0))</f>
        <v>58.8</v>
      </c>
      <c r="G296" s="19" t="str">
        <f aca="false">장비_기본!H41</f>
        <v>필살기 충전</v>
      </c>
      <c r="H296" s="21" t="n">
        <f aca="false">장비_기본!I41*INDEX(등급!$C$5:$C$12,MATCH($D296,등급!$A$5:$A$12,0))</f>
        <v>0.0525</v>
      </c>
      <c r="I296" s="19" t="str">
        <f aca="false">장비_기본!J41</f>
        <v>③ 생명의 나무 지속 +[값]초</v>
      </c>
      <c r="J296" s="20" t="n">
        <f aca="false">ROUND(장비_기본!K41*INDEX(등급!$F$5:$F$12,MATCH($D296,등급!$A$5:$A$12,0)),1)</f>
        <v>0.9</v>
      </c>
      <c r="K296" s="19" t="n">
        <f aca="false">INDEX(등급!$D$5:$D$12,MATCH($D296,등급!$A$5:$A$12,0))</f>
        <v>2</v>
      </c>
      <c r="L296" s="19" t="str">
        <f aca="false">IF(INDEX(등급!$H$5:$H$12,MATCH($D296,등급!$A$5:$A$12,0))=0,"-",IF(INDEX(등급!$G$5:$G$12,MATCH($D296,등급!$A$5:$A$12,0))=INDEX(등급!$H$5:$H$12,MATCH($D296,등급!$A$5:$A$12,0)),INDEX(등급!$G$5:$G$12,MATCH($D296,등급!$A$5:$A$12,0))&amp;"칸",INDEX(등급!$G$5:$G$12,MATCH($D296,등급!$A$5:$A$12,0))&amp;"~"&amp;INDEX(등급!$H$5:$H$12,MATCH($D296,등급!$A$5:$A$12,0))&amp;"칸"))</f>
        <v>-</v>
      </c>
      <c r="M296" s="19" t="str">
        <f aca="false">IF(INDEX(등급!$J$5:$J$12,MATCH($D296,등급!$A$5:$A$12,0))=0,"-",IF(INDEX(등급!$I$5:$I$12,MATCH($D296,등급!$A$5:$A$12,0))=INDEX(등급!$J$5:$J$12,MATCH($D296,등급!$A$5:$A$12,0)),INDEX(등급!$I$5:$I$12,MATCH($D296,등급!$A$5:$A$12,0))&amp;"개",INDEX(등급!$I$5:$I$12,MATCH($D296,등급!$A$5:$A$12,0))&amp;"~"&amp;INDEX(등급!$J$5:$J$12,MATCH($D296,등급!$A$5:$A$12,0))&amp;"개"))</f>
        <v>-</v>
      </c>
      <c r="N296" s="19" t="str">
        <f aca="false">IF(INDEX(등급!$L$5:$L$12,MATCH($D296,등급!$A$5:$A$12,0))=0,"-",INDEX(등급!$K$5:$K$12,MATCH($D296,등급!$A$5:$A$12,0))&amp;"~"&amp;INDEX(등급!$L$5:$L$12,MATCH($D296,등급!$A$5:$A$12,0))&amp;"개")</f>
        <v>-</v>
      </c>
    </row>
    <row r="297" customFormat="false" ht="15" hidden="false" customHeight="false" outlineLevel="0" collapsed="false">
      <c r="A297" s="19" t="str">
        <f aca="false">장비_기본!B41</f>
        <v>수호의 성의</v>
      </c>
      <c r="B297" s="19" t="str">
        <f aca="false">장비_기본!C41</f>
        <v>갑옷</v>
      </c>
      <c r="C297" s="19" t="str">
        <f aca="false">장비_기본!D41</f>
        <v>서포터</v>
      </c>
      <c r="D297" s="8" t="s">
        <v>47</v>
      </c>
      <c r="E297" s="19" t="str">
        <f aca="false">장비_기본!F41</f>
        <v>체력</v>
      </c>
      <c r="F297" s="20" t="n">
        <f aca="false">장비_기본!G41*INDEX(등급!$C$5:$C$12,MATCH($D297,등급!$A$5:$A$12,0))</f>
        <v>71.4</v>
      </c>
      <c r="G297" s="19" t="str">
        <f aca="false">장비_기본!H41</f>
        <v>필살기 충전</v>
      </c>
      <c r="H297" s="21" t="n">
        <f aca="false">장비_기본!I41*INDEX(등급!$C$5:$C$12,MATCH($D297,등급!$A$5:$A$12,0))</f>
        <v>0.06375</v>
      </c>
      <c r="I297" s="19" t="str">
        <f aca="false">장비_기본!J41</f>
        <v>③ 생명의 나무 지속 +[값]초</v>
      </c>
      <c r="J297" s="20" t="n">
        <f aca="false">ROUND(장비_기본!K41*INDEX(등급!$F$5:$F$12,MATCH($D297,등급!$A$5:$A$12,0)),1)</f>
        <v>1</v>
      </c>
      <c r="K297" s="19" t="n">
        <f aca="false">INDEX(등급!$D$5:$D$12,MATCH($D297,등급!$A$5:$A$12,0))</f>
        <v>3</v>
      </c>
      <c r="L297" s="19" t="str">
        <f aca="false">IF(INDEX(등급!$H$5:$H$12,MATCH($D297,등급!$A$5:$A$12,0))=0,"-",IF(INDEX(등급!$G$5:$G$12,MATCH($D297,등급!$A$5:$A$12,0))=INDEX(등급!$H$5:$H$12,MATCH($D297,등급!$A$5:$A$12,0)),INDEX(등급!$G$5:$G$12,MATCH($D297,등급!$A$5:$A$12,0))&amp;"칸",INDEX(등급!$G$5:$G$12,MATCH($D297,등급!$A$5:$A$12,0))&amp;"~"&amp;INDEX(등급!$H$5:$H$12,MATCH($D297,등급!$A$5:$A$12,0))&amp;"칸"))</f>
        <v>-</v>
      </c>
      <c r="M297" s="19" t="str">
        <f aca="false">IF(INDEX(등급!$J$5:$J$12,MATCH($D297,등급!$A$5:$A$12,0))=0,"-",IF(INDEX(등급!$I$5:$I$12,MATCH($D297,등급!$A$5:$A$12,0))=INDEX(등급!$J$5:$J$12,MATCH($D297,등급!$A$5:$A$12,0)),INDEX(등급!$I$5:$I$12,MATCH($D297,등급!$A$5:$A$12,0))&amp;"개",INDEX(등급!$I$5:$I$12,MATCH($D297,등급!$A$5:$A$12,0))&amp;"~"&amp;INDEX(등급!$J$5:$J$12,MATCH($D297,등급!$A$5:$A$12,0))&amp;"개"))</f>
        <v>-</v>
      </c>
      <c r="N297" s="19" t="str">
        <f aca="false">IF(INDEX(등급!$L$5:$L$12,MATCH($D297,등급!$A$5:$A$12,0))=0,"-",INDEX(등급!$K$5:$K$12,MATCH($D297,등급!$A$5:$A$12,0))&amp;"~"&amp;INDEX(등급!$L$5:$L$12,MATCH($D297,등급!$A$5:$A$12,0))&amp;"개")</f>
        <v>-</v>
      </c>
    </row>
    <row r="298" customFormat="false" ht="15" hidden="false" customHeight="false" outlineLevel="0" collapsed="false">
      <c r="A298" s="19" t="str">
        <f aca="false">장비_기본!B41</f>
        <v>수호의 성의</v>
      </c>
      <c r="B298" s="19" t="str">
        <f aca="false">장비_기본!C41</f>
        <v>갑옷</v>
      </c>
      <c r="C298" s="19" t="str">
        <f aca="false">장비_기본!D41</f>
        <v>서포터</v>
      </c>
      <c r="D298" s="8" t="s">
        <v>48</v>
      </c>
      <c r="E298" s="19" t="str">
        <f aca="false">장비_기본!F41</f>
        <v>체력</v>
      </c>
      <c r="F298" s="20" t="n">
        <f aca="false">장비_기본!G41*INDEX(등급!$C$5:$C$12,MATCH($D298,등급!$A$5:$A$12,0))</f>
        <v>85.4</v>
      </c>
      <c r="G298" s="19" t="str">
        <f aca="false">장비_기본!H41</f>
        <v>필살기 충전</v>
      </c>
      <c r="H298" s="21" t="n">
        <f aca="false">장비_기본!I41*INDEX(등급!$C$5:$C$12,MATCH($D298,등급!$A$5:$A$12,0))</f>
        <v>0.07625</v>
      </c>
      <c r="I298" s="19" t="str">
        <f aca="false">장비_기본!J41</f>
        <v>③ 생명의 나무 지속 +[값]초</v>
      </c>
      <c r="J298" s="20" t="n">
        <f aca="false">ROUND(장비_기본!K41*INDEX(등급!$F$5:$F$12,MATCH($D298,등급!$A$5:$A$12,0)),1)</f>
        <v>1.2</v>
      </c>
      <c r="K298" s="19" t="n">
        <f aca="false">INDEX(등급!$D$5:$D$12,MATCH($D298,등급!$A$5:$A$12,0))</f>
        <v>4</v>
      </c>
      <c r="L298" s="19" t="str">
        <f aca="false">IF(INDEX(등급!$H$5:$H$12,MATCH($D298,등급!$A$5:$A$12,0))=0,"-",IF(INDEX(등급!$G$5:$G$12,MATCH($D298,등급!$A$5:$A$12,0))=INDEX(등급!$H$5:$H$12,MATCH($D298,등급!$A$5:$A$12,0)),INDEX(등급!$G$5:$G$12,MATCH($D298,등급!$A$5:$A$12,0))&amp;"칸",INDEX(등급!$G$5:$G$12,MATCH($D298,등급!$A$5:$A$12,0))&amp;"~"&amp;INDEX(등급!$H$5:$H$12,MATCH($D298,등급!$A$5:$A$12,0))&amp;"칸"))</f>
        <v>-</v>
      </c>
      <c r="M298" s="19" t="str">
        <f aca="false">IF(INDEX(등급!$J$5:$J$12,MATCH($D298,등급!$A$5:$A$12,0))=0,"-",IF(INDEX(등급!$I$5:$I$12,MATCH($D298,등급!$A$5:$A$12,0))=INDEX(등급!$J$5:$J$12,MATCH($D298,등급!$A$5:$A$12,0)),INDEX(등급!$I$5:$I$12,MATCH($D298,등급!$A$5:$A$12,0))&amp;"개",INDEX(등급!$I$5:$I$12,MATCH($D298,등급!$A$5:$A$12,0))&amp;"~"&amp;INDEX(등급!$J$5:$J$12,MATCH($D298,등급!$A$5:$A$12,0))&amp;"개"))</f>
        <v>-</v>
      </c>
      <c r="N298" s="19" t="str">
        <f aca="false">IF(INDEX(등급!$L$5:$L$12,MATCH($D298,등급!$A$5:$A$12,0))=0,"-",INDEX(등급!$K$5:$K$12,MATCH($D298,등급!$A$5:$A$12,0))&amp;"~"&amp;INDEX(등급!$L$5:$L$12,MATCH($D298,등급!$A$5:$A$12,0))&amp;"개")</f>
        <v>-</v>
      </c>
    </row>
    <row r="299" customFormat="false" ht="15" hidden="false" customHeight="false" outlineLevel="0" collapsed="false">
      <c r="A299" s="19" t="str">
        <f aca="false">장비_기본!B41</f>
        <v>수호의 성의</v>
      </c>
      <c r="B299" s="19" t="str">
        <f aca="false">장비_기본!C41</f>
        <v>갑옷</v>
      </c>
      <c r="C299" s="19" t="str">
        <f aca="false">장비_기본!D41</f>
        <v>서포터</v>
      </c>
      <c r="D299" s="8" t="s">
        <v>49</v>
      </c>
      <c r="E299" s="19" t="str">
        <f aca="false">장비_기본!F41</f>
        <v>체력</v>
      </c>
      <c r="F299" s="20" t="n">
        <f aca="false">장비_기본!G41*INDEX(등급!$C$5:$C$12,MATCH($D299,등급!$A$5:$A$12,0))</f>
        <v>89.6</v>
      </c>
      <c r="G299" s="19" t="str">
        <f aca="false">장비_기본!H41</f>
        <v>필살기 충전</v>
      </c>
      <c r="H299" s="21" t="n">
        <f aca="false">장비_기본!I41*INDEX(등급!$C$5:$C$12,MATCH($D299,등급!$A$5:$A$12,0))</f>
        <v>0.08</v>
      </c>
      <c r="I299" s="19" t="str">
        <f aca="false">장비_기본!J41</f>
        <v>③ 생명의 나무 지속 +[값]초</v>
      </c>
      <c r="J299" s="20" t="n">
        <f aca="false">ROUND(장비_기본!K41*INDEX(등급!$F$5:$F$12,MATCH($D299,등급!$A$5:$A$12,0)),1)</f>
        <v>1.3</v>
      </c>
      <c r="K299" s="19" t="n">
        <f aca="false">INDEX(등급!$D$5:$D$12,MATCH($D299,등급!$A$5:$A$12,0))</f>
        <v>4</v>
      </c>
      <c r="L299" s="19" t="str">
        <f aca="false">IF(INDEX(등급!$H$5:$H$12,MATCH($D299,등급!$A$5:$A$12,0))=0,"-",IF(INDEX(등급!$G$5:$G$12,MATCH($D299,등급!$A$5:$A$12,0))=INDEX(등급!$H$5:$H$12,MATCH($D299,등급!$A$5:$A$12,0)),INDEX(등급!$G$5:$G$12,MATCH($D299,등급!$A$5:$A$12,0))&amp;"칸",INDEX(등급!$G$5:$G$12,MATCH($D299,등급!$A$5:$A$12,0))&amp;"~"&amp;INDEX(등급!$H$5:$H$12,MATCH($D299,등급!$A$5:$A$12,0))&amp;"칸"))</f>
        <v>1칸</v>
      </c>
      <c r="M299" s="19" t="str">
        <f aca="false">IF(INDEX(등급!$J$5:$J$12,MATCH($D299,등급!$A$5:$A$12,0))=0,"-",IF(INDEX(등급!$I$5:$I$12,MATCH($D299,등급!$A$5:$A$12,0))=INDEX(등급!$J$5:$J$12,MATCH($D299,등급!$A$5:$A$12,0)),INDEX(등급!$I$5:$I$12,MATCH($D299,등급!$A$5:$A$12,0))&amp;"개",INDEX(등급!$I$5:$I$12,MATCH($D299,등급!$A$5:$A$12,0))&amp;"~"&amp;INDEX(등급!$J$5:$J$12,MATCH($D299,등급!$A$5:$A$12,0))&amp;"개"))</f>
        <v>0~1개</v>
      </c>
      <c r="N299" s="19" t="str">
        <f aca="false">IF(INDEX(등급!$L$5:$L$12,MATCH($D299,등급!$A$5:$A$12,0))=0,"-",INDEX(등급!$K$5:$K$12,MATCH($D299,등급!$A$5:$A$12,0))&amp;"~"&amp;INDEX(등급!$L$5:$L$12,MATCH($D299,등급!$A$5:$A$12,0))&amp;"개")</f>
        <v>0~1개</v>
      </c>
    </row>
    <row r="300" customFormat="false" ht="15" hidden="false" customHeight="false" outlineLevel="0" collapsed="false">
      <c r="A300" s="19" t="str">
        <f aca="false">장비_기본!B41</f>
        <v>수호의 성의</v>
      </c>
      <c r="B300" s="19" t="str">
        <f aca="false">장비_기본!C41</f>
        <v>갑옷</v>
      </c>
      <c r="C300" s="19" t="str">
        <f aca="false">장비_기본!D41</f>
        <v>서포터</v>
      </c>
      <c r="D300" s="8" t="s">
        <v>51</v>
      </c>
      <c r="E300" s="19" t="str">
        <f aca="false">장비_기본!F41</f>
        <v>체력</v>
      </c>
      <c r="F300" s="20" t="n">
        <f aca="false">장비_기본!G41*INDEX(등급!$C$5:$C$12,MATCH($D300,등급!$A$5:$A$12,0))</f>
        <v>92.4</v>
      </c>
      <c r="G300" s="19" t="str">
        <f aca="false">장비_기본!H41</f>
        <v>필살기 충전</v>
      </c>
      <c r="H300" s="21" t="n">
        <f aca="false">장비_기본!I41*INDEX(등급!$C$5:$C$12,MATCH($D300,등급!$A$5:$A$12,0))</f>
        <v>0.0825</v>
      </c>
      <c r="I300" s="19" t="str">
        <f aca="false">장비_기본!J41</f>
        <v>③ 생명의 나무 지속 +[값]초</v>
      </c>
      <c r="J300" s="20" t="n">
        <f aca="false">ROUND(장비_기본!K41*INDEX(등급!$F$5:$F$12,MATCH($D300,등급!$A$5:$A$12,0)),1)</f>
        <v>1.5</v>
      </c>
      <c r="K300" s="19" t="n">
        <f aca="false">INDEX(등급!$D$5:$D$12,MATCH($D300,등급!$A$5:$A$12,0))</f>
        <v>4</v>
      </c>
      <c r="L300" s="19" t="str">
        <f aca="false">IF(INDEX(등급!$H$5:$H$12,MATCH($D300,등급!$A$5:$A$12,0))=0,"-",IF(INDEX(등급!$G$5:$G$12,MATCH($D300,등급!$A$5:$A$12,0))=INDEX(등급!$H$5:$H$12,MATCH($D300,등급!$A$5:$A$12,0)),INDEX(등급!$G$5:$G$12,MATCH($D300,등급!$A$5:$A$12,0))&amp;"칸",INDEX(등급!$G$5:$G$12,MATCH($D300,등급!$A$5:$A$12,0))&amp;"~"&amp;INDEX(등급!$H$5:$H$12,MATCH($D300,등급!$A$5:$A$12,0))&amp;"칸"))</f>
        <v>1~3칸</v>
      </c>
      <c r="M300" s="19" t="str">
        <f aca="false">IF(INDEX(등급!$J$5:$J$12,MATCH($D300,등급!$A$5:$A$12,0))=0,"-",IF(INDEX(등급!$I$5:$I$12,MATCH($D300,등급!$A$5:$A$12,0))=INDEX(등급!$J$5:$J$12,MATCH($D300,등급!$A$5:$A$12,0)),INDEX(등급!$I$5:$I$12,MATCH($D300,등급!$A$5:$A$12,0))&amp;"개",INDEX(등급!$I$5:$I$12,MATCH($D300,등급!$A$5:$A$12,0))&amp;"~"&amp;INDEX(등급!$J$5:$J$12,MATCH($D300,등급!$A$5:$A$12,0))&amp;"개"))</f>
        <v>1개</v>
      </c>
      <c r="N300" s="19" t="str">
        <f aca="false">IF(INDEX(등급!$L$5:$L$12,MATCH($D300,등급!$A$5:$A$12,0))=0,"-",INDEX(등급!$K$5:$K$12,MATCH($D300,등급!$A$5:$A$12,0))&amp;"~"&amp;INDEX(등급!$L$5:$L$12,MATCH($D300,등급!$A$5:$A$12,0))&amp;"개")</f>
        <v>0~2개</v>
      </c>
    </row>
    <row r="301" customFormat="false" ht="15" hidden="false" customHeight="false" outlineLevel="0" collapsed="false">
      <c r="A301" s="19" t="str">
        <f aca="false">장비_기본!B42</f>
        <v>기도의 숄</v>
      </c>
      <c r="B301" s="19" t="str">
        <f aca="false">장비_기본!C42</f>
        <v>갑옷</v>
      </c>
      <c r="C301" s="19" t="str">
        <f aca="false">장비_기본!D42</f>
        <v>서포터</v>
      </c>
      <c r="D301" s="8" t="s">
        <v>43</v>
      </c>
      <c r="E301" s="19" t="str">
        <f aca="false">장비_기본!F42</f>
        <v>체력</v>
      </c>
      <c r="F301" s="20" t="n">
        <f aca="false">장비_기본!G42*INDEX(등급!$C$5:$C$12,MATCH($D301,등급!$A$5:$A$12,0))</f>
        <v>28</v>
      </c>
      <c r="G301" s="19" t="str">
        <f aca="false">장비_기본!H42</f>
        <v>필살기 충전</v>
      </c>
      <c r="H301" s="21" t="n">
        <f aca="false">장비_기본!I42*INDEX(등급!$C$5:$C$12,MATCH($D301,등급!$A$5:$A$12,0))</f>
        <v>0.025</v>
      </c>
      <c r="I301" s="19" t="str">
        <f aca="false">장비_기본!J42</f>
        <v>전투 시작 시 파티 HP [값]% 회복</v>
      </c>
      <c r="J301" s="20" t="n">
        <f aca="false">ROUND(장비_기본!K42*INDEX(등급!$F$5:$F$12,MATCH($D301,등급!$A$5:$A$12,0)),1)</f>
        <v>3</v>
      </c>
      <c r="K301" s="19" t="n">
        <f aca="false">INDEX(등급!$D$5:$D$12,MATCH($D301,등급!$A$5:$A$12,0))</f>
        <v>0</v>
      </c>
      <c r="L301" s="19" t="str">
        <f aca="false">IF(INDEX(등급!$H$5:$H$12,MATCH($D301,등급!$A$5:$A$12,0))=0,"-",IF(INDEX(등급!$G$5:$G$12,MATCH($D301,등급!$A$5:$A$12,0))=INDEX(등급!$H$5:$H$12,MATCH($D301,등급!$A$5:$A$12,0)),INDEX(등급!$G$5:$G$12,MATCH($D301,등급!$A$5:$A$12,0))&amp;"칸",INDEX(등급!$G$5:$G$12,MATCH($D301,등급!$A$5:$A$12,0))&amp;"~"&amp;INDEX(등급!$H$5:$H$12,MATCH($D301,등급!$A$5:$A$12,0))&amp;"칸"))</f>
        <v>-</v>
      </c>
      <c r="M301" s="19" t="str">
        <f aca="false">IF(INDEX(등급!$J$5:$J$12,MATCH($D301,등급!$A$5:$A$12,0))=0,"-",IF(INDEX(등급!$I$5:$I$12,MATCH($D301,등급!$A$5:$A$12,0))=INDEX(등급!$J$5:$J$12,MATCH($D301,등급!$A$5:$A$12,0)),INDEX(등급!$I$5:$I$12,MATCH($D301,등급!$A$5:$A$12,0))&amp;"개",INDEX(등급!$I$5:$I$12,MATCH($D301,등급!$A$5:$A$12,0))&amp;"~"&amp;INDEX(등급!$J$5:$J$12,MATCH($D301,등급!$A$5:$A$12,0))&amp;"개"))</f>
        <v>-</v>
      </c>
      <c r="N301" s="19" t="str">
        <f aca="false">IF(INDEX(등급!$L$5:$L$12,MATCH($D301,등급!$A$5:$A$12,0))=0,"-",INDEX(등급!$K$5:$K$12,MATCH($D301,등급!$A$5:$A$12,0))&amp;"~"&amp;INDEX(등급!$L$5:$L$12,MATCH($D301,등급!$A$5:$A$12,0))&amp;"개")</f>
        <v>-</v>
      </c>
    </row>
    <row r="302" customFormat="false" ht="15" hidden="false" customHeight="false" outlineLevel="0" collapsed="false">
      <c r="A302" s="19" t="str">
        <f aca="false">장비_기본!B42</f>
        <v>기도의 숄</v>
      </c>
      <c r="B302" s="19" t="str">
        <f aca="false">장비_기본!C42</f>
        <v>갑옷</v>
      </c>
      <c r="C302" s="19" t="str">
        <f aca="false">장비_기본!D42</f>
        <v>서포터</v>
      </c>
      <c r="D302" s="8" t="s">
        <v>44</v>
      </c>
      <c r="E302" s="19" t="str">
        <f aca="false">장비_기본!F42</f>
        <v>체력</v>
      </c>
      <c r="F302" s="20" t="n">
        <f aca="false">장비_기본!G42*INDEX(등급!$C$5:$C$12,MATCH($D302,등급!$A$5:$A$12,0))</f>
        <v>40.6</v>
      </c>
      <c r="G302" s="19" t="str">
        <f aca="false">장비_기본!H42</f>
        <v>필살기 충전</v>
      </c>
      <c r="H302" s="21" t="n">
        <f aca="false">장비_기본!I42*INDEX(등급!$C$5:$C$12,MATCH($D302,등급!$A$5:$A$12,0))</f>
        <v>0.03625</v>
      </c>
      <c r="I302" s="19" t="str">
        <f aca="false">장비_기본!J42</f>
        <v>전투 시작 시 파티 HP [값]% 회복</v>
      </c>
      <c r="J302" s="20" t="n">
        <f aca="false">ROUND(장비_기본!K42*INDEX(등급!$F$5:$F$12,MATCH($D302,등급!$A$5:$A$12,0)),1)</f>
        <v>4.1</v>
      </c>
      <c r="K302" s="19" t="n">
        <f aca="false">INDEX(등급!$D$5:$D$12,MATCH($D302,등급!$A$5:$A$12,0))</f>
        <v>0</v>
      </c>
      <c r="L302" s="19" t="str">
        <f aca="false">IF(INDEX(등급!$H$5:$H$12,MATCH($D302,등급!$A$5:$A$12,0))=0,"-",IF(INDEX(등급!$G$5:$G$12,MATCH($D302,등급!$A$5:$A$12,0))=INDEX(등급!$H$5:$H$12,MATCH($D302,등급!$A$5:$A$12,0)),INDEX(등급!$G$5:$G$12,MATCH($D302,등급!$A$5:$A$12,0))&amp;"칸",INDEX(등급!$G$5:$G$12,MATCH($D302,등급!$A$5:$A$12,0))&amp;"~"&amp;INDEX(등급!$H$5:$H$12,MATCH($D302,등급!$A$5:$A$12,0))&amp;"칸"))</f>
        <v>-</v>
      </c>
      <c r="M302" s="19" t="str">
        <f aca="false">IF(INDEX(등급!$J$5:$J$12,MATCH($D302,등급!$A$5:$A$12,0))=0,"-",IF(INDEX(등급!$I$5:$I$12,MATCH($D302,등급!$A$5:$A$12,0))=INDEX(등급!$J$5:$J$12,MATCH($D302,등급!$A$5:$A$12,0)),INDEX(등급!$I$5:$I$12,MATCH($D302,등급!$A$5:$A$12,0))&amp;"개",INDEX(등급!$I$5:$I$12,MATCH($D302,등급!$A$5:$A$12,0))&amp;"~"&amp;INDEX(등급!$J$5:$J$12,MATCH($D302,등급!$A$5:$A$12,0))&amp;"개"))</f>
        <v>-</v>
      </c>
      <c r="N302" s="19" t="str">
        <f aca="false">IF(INDEX(등급!$L$5:$L$12,MATCH($D302,등급!$A$5:$A$12,0))=0,"-",INDEX(등급!$K$5:$K$12,MATCH($D302,등급!$A$5:$A$12,0))&amp;"~"&amp;INDEX(등급!$L$5:$L$12,MATCH($D302,등급!$A$5:$A$12,0))&amp;"개")</f>
        <v>-</v>
      </c>
    </row>
    <row r="303" customFormat="false" ht="15" hidden="false" customHeight="false" outlineLevel="0" collapsed="false">
      <c r="A303" s="19" t="str">
        <f aca="false">장비_기본!B42</f>
        <v>기도의 숄</v>
      </c>
      <c r="B303" s="19" t="str">
        <f aca="false">장비_기본!C42</f>
        <v>갑옷</v>
      </c>
      <c r="C303" s="19" t="str">
        <f aca="false">장비_기본!D42</f>
        <v>서포터</v>
      </c>
      <c r="D303" s="8" t="s">
        <v>45</v>
      </c>
      <c r="E303" s="19" t="str">
        <f aca="false">장비_기본!F42</f>
        <v>체력</v>
      </c>
      <c r="F303" s="20" t="n">
        <f aca="false">장비_기본!G42*INDEX(등급!$C$5:$C$12,MATCH($D303,등급!$A$5:$A$12,0))</f>
        <v>47.6</v>
      </c>
      <c r="G303" s="19" t="str">
        <f aca="false">장비_기본!H42</f>
        <v>필살기 충전</v>
      </c>
      <c r="H303" s="21" t="n">
        <f aca="false">장비_기본!I42*INDEX(등급!$C$5:$C$12,MATCH($D303,등급!$A$5:$A$12,0))</f>
        <v>0.0425</v>
      </c>
      <c r="I303" s="19" t="str">
        <f aca="false">장비_기본!J42</f>
        <v>전투 시작 시 파티 HP [값]% 회복</v>
      </c>
      <c r="J303" s="20" t="n">
        <f aca="false">ROUND(장비_기본!K42*INDEX(등급!$F$5:$F$12,MATCH($D303,등급!$A$5:$A$12,0)),1)</f>
        <v>4.5</v>
      </c>
      <c r="K303" s="19" t="n">
        <f aca="false">INDEX(등급!$D$5:$D$12,MATCH($D303,등급!$A$5:$A$12,0))</f>
        <v>1</v>
      </c>
      <c r="L303" s="19" t="str">
        <f aca="false">IF(INDEX(등급!$H$5:$H$12,MATCH($D303,등급!$A$5:$A$12,0))=0,"-",IF(INDEX(등급!$G$5:$G$12,MATCH($D303,등급!$A$5:$A$12,0))=INDEX(등급!$H$5:$H$12,MATCH($D303,등급!$A$5:$A$12,0)),INDEX(등급!$G$5:$G$12,MATCH($D303,등급!$A$5:$A$12,0))&amp;"칸",INDEX(등급!$G$5:$G$12,MATCH($D303,등급!$A$5:$A$12,0))&amp;"~"&amp;INDEX(등급!$H$5:$H$12,MATCH($D303,등급!$A$5:$A$12,0))&amp;"칸"))</f>
        <v>-</v>
      </c>
      <c r="M303" s="19" t="str">
        <f aca="false">IF(INDEX(등급!$J$5:$J$12,MATCH($D303,등급!$A$5:$A$12,0))=0,"-",IF(INDEX(등급!$I$5:$I$12,MATCH($D303,등급!$A$5:$A$12,0))=INDEX(등급!$J$5:$J$12,MATCH($D303,등급!$A$5:$A$12,0)),INDEX(등급!$I$5:$I$12,MATCH($D303,등급!$A$5:$A$12,0))&amp;"개",INDEX(등급!$I$5:$I$12,MATCH($D303,등급!$A$5:$A$12,0))&amp;"~"&amp;INDEX(등급!$J$5:$J$12,MATCH($D303,등급!$A$5:$A$12,0))&amp;"개"))</f>
        <v>-</v>
      </c>
      <c r="N303" s="19" t="str">
        <f aca="false">IF(INDEX(등급!$L$5:$L$12,MATCH($D303,등급!$A$5:$A$12,0))=0,"-",INDEX(등급!$K$5:$K$12,MATCH($D303,등급!$A$5:$A$12,0))&amp;"~"&amp;INDEX(등급!$L$5:$L$12,MATCH($D303,등급!$A$5:$A$12,0))&amp;"개")</f>
        <v>-</v>
      </c>
    </row>
    <row r="304" customFormat="false" ht="15" hidden="false" customHeight="false" outlineLevel="0" collapsed="false">
      <c r="A304" s="19" t="str">
        <f aca="false">장비_기본!B42</f>
        <v>기도의 숄</v>
      </c>
      <c r="B304" s="19" t="str">
        <f aca="false">장비_기본!C42</f>
        <v>갑옷</v>
      </c>
      <c r="C304" s="19" t="str">
        <f aca="false">장비_기본!D42</f>
        <v>서포터</v>
      </c>
      <c r="D304" s="8" t="s">
        <v>46</v>
      </c>
      <c r="E304" s="19" t="str">
        <f aca="false">장비_기본!F42</f>
        <v>체력</v>
      </c>
      <c r="F304" s="20" t="n">
        <f aca="false">장비_기본!G42*INDEX(등급!$C$5:$C$12,MATCH($D304,등급!$A$5:$A$12,0))</f>
        <v>58.8</v>
      </c>
      <c r="G304" s="19" t="str">
        <f aca="false">장비_기본!H42</f>
        <v>필살기 충전</v>
      </c>
      <c r="H304" s="21" t="n">
        <f aca="false">장비_기본!I42*INDEX(등급!$C$5:$C$12,MATCH($D304,등급!$A$5:$A$12,0))</f>
        <v>0.0525</v>
      </c>
      <c r="I304" s="19" t="str">
        <f aca="false">장비_기본!J42</f>
        <v>전투 시작 시 파티 HP [값]% 회복</v>
      </c>
      <c r="J304" s="20" t="n">
        <f aca="false">ROUND(장비_기본!K42*INDEX(등급!$F$5:$F$12,MATCH($D304,등급!$A$5:$A$12,0)),1)</f>
        <v>5.3</v>
      </c>
      <c r="K304" s="19" t="n">
        <f aca="false">INDEX(등급!$D$5:$D$12,MATCH($D304,등급!$A$5:$A$12,0))</f>
        <v>2</v>
      </c>
      <c r="L304" s="19" t="str">
        <f aca="false">IF(INDEX(등급!$H$5:$H$12,MATCH($D304,등급!$A$5:$A$12,0))=0,"-",IF(INDEX(등급!$G$5:$G$12,MATCH($D304,등급!$A$5:$A$12,0))=INDEX(등급!$H$5:$H$12,MATCH($D304,등급!$A$5:$A$12,0)),INDEX(등급!$G$5:$G$12,MATCH($D304,등급!$A$5:$A$12,0))&amp;"칸",INDEX(등급!$G$5:$G$12,MATCH($D304,등급!$A$5:$A$12,0))&amp;"~"&amp;INDEX(등급!$H$5:$H$12,MATCH($D304,등급!$A$5:$A$12,0))&amp;"칸"))</f>
        <v>-</v>
      </c>
      <c r="M304" s="19" t="str">
        <f aca="false">IF(INDEX(등급!$J$5:$J$12,MATCH($D304,등급!$A$5:$A$12,0))=0,"-",IF(INDEX(등급!$I$5:$I$12,MATCH($D304,등급!$A$5:$A$12,0))=INDEX(등급!$J$5:$J$12,MATCH($D304,등급!$A$5:$A$12,0)),INDEX(등급!$I$5:$I$12,MATCH($D304,등급!$A$5:$A$12,0))&amp;"개",INDEX(등급!$I$5:$I$12,MATCH($D304,등급!$A$5:$A$12,0))&amp;"~"&amp;INDEX(등급!$J$5:$J$12,MATCH($D304,등급!$A$5:$A$12,0))&amp;"개"))</f>
        <v>-</v>
      </c>
      <c r="N304" s="19" t="str">
        <f aca="false">IF(INDEX(등급!$L$5:$L$12,MATCH($D304,등급!$A$5:$A$12,0))=0,"-",INDEX(등급!$K$5:$K$12,MATCH($D304,등급!$A$5:$A$12,0))&amp;"~"&amp;INDEX(등급!$L$5:$L$12,MATCH($D304,등급!$A$5:$A$12,0))&amp;"개")</f>
        <v>-</v>
      </c>
    </row>
    <row r="305" customFormat="false" ht="15" hidden="false" customHeight="false" outlineLevel="0" collapsed="false">
      <c r="A305" s="19" t="str">
        <f aca="false">장비_기본!B42</f>
        <v>기도의 숄</v>
      </c>
      <c r="B305" s="19" t="str">
        <f aca="false">장비_기본!C42</f>
        <v>갑옷</v>
      </c>
      <c r="C305" s="19" t="str">
        <f aca="false">장비_기본!D42</f>
        <v>서포터</v>
      </c>
      <c r="D305" s="8" t="s">
        <v>47</v>
      </c>
      <c r="E305" s="19" t="str">
        <f aca="false">장비_기본!F42</f>
        <v>체력</v>
      </c>
      <c r="F305" s="20" t="n">
        <f aca="false">장비_기본!G42*INDEX(등급!$C$5:$C$12,MATCH($D305,등급!$A$5:$A$12,0))</f>
        <v>71.4</v>
      </c>
      <c r="G305" s="19" t="str">
        <f aca="false">장비_기본!H42</f>
        <v>필살기 충전</v>
      </c>
      <c r="H305" s="21" t="n">
        <f aca="false">장비_기본!I42*INDEX(등급!$C$5:$C$12,MATCH($D305,등급!$A$5:$A$12,0))</f>
        <v>0.06375</v>
      </c>
      <c r="I305" s="19" t="str">
        <f aca="false">장비_기본!J42</f>
        <v>전투 시작 시 파티 HP [값]% 회복</v>
      </c>
      <c r="J305" s="20" t="n">
        <f aca="false">ROUND(장비_기본!K42*INDEX(등급!$F$5:$F$12,MATCH($D305,등급!$A$5:$A$12,0)),1)</f>
        <v>6</v>
      </c>
      <c r="K305" s="19" t="n">
        <f aca="false">INDEX(등급!$D$5:$D$12,MATCH($D305,등급!$A$5:$A$12,0))</f>
        <v>3</v>
      </c>
      <c r="L305" s="19" t="str">
        <f aca="false">IF(INDEX(등급!$H$5:$H$12,MATCH($D305,등급!$A$5:$A$12,0))=0,"-",IF(INDEX(등급!$G$5:$G$12,MATCH($D305,등급!$A$5:$A$12,0))=INDEX(등급!$H$5:$H$12,MATCH($D305,등급!$A$5:$A$12,0)),INDEX(등급!$G$5:$G$12,MATCH($D305,등급!$A$5:$A$12,0))&amp;"칸",INDEX(등급!$G$5:$G$12,MATCH($D305,등급!$A$5:$A$12,0))&amp;"~"&amp;INDEX(등급!$H$5:$H$12,MATCH($D305,등급!$A$5:$A$12,0))&amp;"칸"))</f>
        <v>-</v>
      </c>
      <c r="M305" s="19" t="str">
        <f aca="false">IF(INDEX(등급!$J$5:$J$12,MATCH($D305,등급!$A$5:$A$12,0))=0,"-",IF(INDEX(등급!$I$5:$I$12,MATCH($D305,등급!$A$5:$A$12,0))=INDEX(등급!$J$5:$J$12,MATCH($D305,등급!$A$5:$A$12,0)),INDEX(등급!$I$5:$I$12,MATCH($D305,등급!$A$5:$A$12,0))&amp;"개",INDEX(등급!$I$5:$I$12,MATCH($D305,등급!$A$5:$A$12,0))&amp;"~"&amp;INDEX(등급!$J$5:$J$12,MATCH($D305,등급!$A$5:$A$12,0))&amp;"개"))</f>
        <v>-</v>
      </c>
      <c r="N305" s="19" t="str">
        <f aca="false">IF(INDEX(등급!$L$5:$L$12,MATCH($D305,등급!$A$5:$A$12,0))=0,"-",INDEX(등급!$K$5:$K$12,MATCH($D305,등급!$A$5:$A$12,0))&amp;"~"&amp;INDEX(등급!$L$5:$L$12,MATCH($D305,등급!$A$5:$A$12,0))&amp;"개")</f>
        <v>-</v>
      </c>
    </row>
    <row r="306" customFormat="false" ht="15" hidden="false" customHeight="false" outlineLevel="0" collapsed="false">
      <c r="A306" s="19" t="str">
        <f aca="false">장비_기본!B42</f>
        <v>기도의 숄</v>
      </c>
      <c r="B306" s="19" t="str">
        <f aca="false">장비_기본!C42</f>
        <v>갑옷</v>
      </c>
      <c r="C306" s="19" t="str">
        <f aca="false">장비_기본!D42</f>
        <v>서포터</v>
      </c>
      <c r="D306" s="8" t="s">
        <v>48</v>
      </c>
      <c r="E306" s="19" t="str">
        <f aca="false">장비_기본!F42</f>
        <v>체력</v>
      </c>
      <c r="F306" s="20" t="n">
        <f aca="false">장비_기본!G42*INDEX(등급!$C$5:$C$12,MATCH($D306,등급!$A$5:$A$12,0))</f>
        <v>85.4</v>
      </c>
      <c r="G306" s="19" t="str">
        <f aca="false">장비_기본!H42</f>
        <v>필살기 충전</v>
      </c>
      <c r="H306" s="21" t="n">
        <f aca="false">장비_기본!I42*INDEX(등급!$C$5:$C$12,MATCH($D306,등급!$A$5:$A$12,0))</f>
        <v>0.07625</v>
      </c>
      <c r="I306" s="19" t="str">
        <f aca="false">장비_기본!J42</f>
        <v>전투 시작 시 파티 HP [값]% 회복</v>
      </c>
      <c r="J306" s="20" t="n">
        <f aca="false">ROUND(장비_기본!K42*INDEX(등급!$F$5:$F$12,MATCH($D306,등급!$A$5:$A$12,0)),1)</f>
        <v>6.9</v>
      </c>
      <c r="K306" s="19" t="n">
        <f aca="false">INDEX(등급!$D$5:$D$12,MATCH($D306,등급!$A$5:$A$12,0))</f>
        <v>4</v>
      </c>
      <c r="L306" s="19" t="str">
        <f aca="false">IF(INDEX(등급!$H$5:$H$12,MATCH($D306,등급!$A$5:$A$12,0))=0,"-",IF(INDEX(등급!$G$5:$G$12,MATCH($D306,등급!$A$5:$A$12,0))=INDEX(등급!$H$5:$H$12,MATCH($D306,등급!$A$5:$A$12,0)),INDEX(등급!$G$5:$G$12,MATCH($D306,등급!$A$5:$A$12,0))&amp;"칸",INDEX(등급!$G$5:$G$12,MATCH($D306,등급!$A$5:$A$12,0))&amp;"~"&amp;INDEX(등급!$H$5:$H$12,MATCH($D306,등급!$A$5:$A$12,0))&amp;"칸"))</f>
        <v>-</v>
      </c>
      <c r="M306" s="19" t="str">
        <f aca="false">IF(INDEX(등급!$J$5:$J$12,MATCH($D306,등급!$A$5:$A$12,0))=0,"-",IF(INDEX(등급!$I$5:$I$12,MATCH($D306,등급!$A$5:$A$12,0))=INDEX(등급!$J$5:$J$12,MATCH($D306,등급!$A$5:$A$12,0)),INDEX(등급!$I$5:$I$12,MATCH($D306,등급!$A$5:$A$12,0))&amp;"개",INDEX(등급!$I$5:$I$12,MATCH($D306,등급!$A$5:$A$12,0))&amp;"~"&amp;INDEX(등급!$J$5:$J$12,MATCH($D306,등급!$A$5:$A$12,0))&amp;"개"))</f>
        <v>-</v>
      </c>
      <c r="N306" s="19" t="str">
        <f aca="false">IF(INDEX(등급!$L$5:$L$12,MATCH($D306,등급!$A$5:$A$12,0))=0,"-",INDEX(등급!$K$5:$K$12,MATCH($D306,등급!$A$5:$A$12,0))&amp;"~"&amp;INDEX(등급!$L$5:$L$12,MATCH($D306,등급!$A$5:$A$12,0))&amp;"개")</f>
        <v>-</v>
      </c>
    </row>
    <row r="307" customFormat="false" ht="15" hidden="false" customHeight="false" outlineLevel="0" collapsed="false">
      <c r="A307" s="19" t="str">
        <f aca="false">장비_기본!B42</f>
        <v>기도의 숄</v>
      </c>
      <c r="B307" s="19" t="str">
        <f aca="false">장비_기본!C42</f>
        <v>갑옷</v>
      </c>
      <c r="C307" s="19" t="str">
        <f aca="false">장비_기본!D42</f>
        <v>서포터</v>
      </c>
      <c r="D307" s="8" t="s">
        <v>49</v>
      </c>
      <c r="E307" s="19" t="str">
        <f aca="false">장비_기본!F42</f>
        <v>체력</v>
      </c>
      <c r="F307" s="20" t="n">
        <f aca="false">장비_기본!G42*INDEX(등급!$C$5:$C$12,MATCH($D307,등급!$A$5:$A$12,0))</f>
        <v>89.6</v>
      </c>
      <c r="G307" s="19" t="str">
        <f aca="false">장비_기본!H42</f>
        <v>필살기 충전</v>
      </c>
      <c r="H307" s="21" t="n">
        <f aca="false">장비_기본!I42*INDEX(등급!$C$5:$C$12,MATCH($D307,등급!$A$5:$A$12,0))</f>
        <v>0.08</v>
      </c>
      <c r="I307" s="19" t="str">
        <f aca="false">장비_기본!J42</f>
        <v>전투 시작 시 파티 HP [값]% 회복</v>
      </c>
      <c r="J307" s="20" t="n">
        <f aca="false">ROUND(장비_기본!K42*INDEX(등급!$F$5:$F$12,MATCH($D307,등급!$A$5:$A$12,0)),1)</f>
        <v>8</v>
      </c>
      <c r="K307" s="19" t="n">
        <f aca="false">INDEX(등급!$D$5:$D$12,MATCH($D307,등급!$A$5:$A$12,0))</f>
        <v>4</v>
      </c>
      <c r="L307" s="19" t="str">
        <f aca="false">IF(INDEX(등급!$H$5:$H$12,MATCH($D307,등급!$A$5:$A$12,0))=0,"-",IF(INDEX(등급!$G$5:$G$12,MATCH($D307,등급!$A$5:$A$12,0))=INDEX(등급!$H$5:$H$12,MATCH($D307,등급!$A$5:$A$12,0)),INDEX(등급!$G$5:$G$12,MATCH($D307,등급!$A$5:$A$12,0))&amp;"칸",INDEX(등급!$G$5:$G$12,MATCH($D307,등급!$A$5:$A$12,0))&amp;"~"&amp;INDEX(등급!$H$5:$H$12,MATCH($D307,등급!$A$5:$A$12,0))&amp;"칸"))</f>
        <v>1칸</v>
      </c>
      <c r="M307" s="19" t="str">
        <f aca="false">IF(INDEX(등급!$J$5:$J$12,MATCH($D307,등급!$A$5:$A$12,0))=0,"-",IF(INDEX(등급!$I$5:$I$12,MATCH($D307,등급!$A$5:$A$12,0))=INDEX(등급!$J$5:$J$12,MATCH($D307,등급!$A$5:$A$12,0)),INDEX(등급!$I$5:$I$12,MATCH($D307,등급!$A$5:$A$12,0))&amp;"개",INDEX(등급!$I$5:$I$12,MATCH($D307,등급!$A$5:$A$12,0))&amp;"~"&amp;INDEX(등급!$J$5:$J$12,MATCH($D307,등급!$A$5:$A$12,0))&amp;"개"))</f>
        <v>0~1개</v>
      </c>
      <c r="N307" s="19" t="str">
        <f aca="false">IF(INDEX(등급!$L$5:$L$12,MATCH($D307,등급!$A$5:$A$12,0))=0,"-",INDEX(등급!$K$5:$K$12,MATCH($D307,등급!$A$5:$A$12,0))&amp;"~"&amp;INDEX(등급!$L$5:$L$12,MATCH($D307,등급!$A$5:$A$12,0))&amp;"개")</f>
        <v>0~1개</v>
      </c>
    </row>
    <row r="308" customFormat="false" ht="15" hidden="false" customHeight="false" outlineLevel="0" collapsed="false">
      <c r="A308" s="19" t="str">
        <f aca="false">장비_기본!B42</f>
        <v>기도의 숄</v>
      </c>
      <c r="B308" s="19" t="str">
        <f aca="false">장비_기본!C42</f>
        <v>갑옷</v>
      </c>
      <c r="C308" s="19" t="str">
        <f aca="false">장비_기본!D42</f>
        <v>서포터</v>
      </c>
      <c r="D308" s="8" t="s">
        <v>51</v>
      </c>
      <c r="E308" s="19" t="str">
        <f aca="false">장비_기본!F42</f>
        <v>체력</v>
      </c>
      <c r="F308" s="20" t="n">
        <f aca="false">장비_기본!G42*INDEX(등급!$C$5:$C$12,MATCH($D308,등급!$A$5:$A$12,0))</f>
        <v>92.4</v>
      </c>
      <c r="G308" s="19" t="str">
        <f aca="false">장비_기본!H42</f>
        <v>필살기 충전</v>
      </c>
      <c r="H308" s="21" t="n">
        <f aca="false">장비_기본!I42*INDEX(등급!$C$5:$C$12,MATCH($D308,등급!$A$5:$A$12,0))</f>
        <v>0.0825</v>
      </c>
      <c r="I308" s="19" t="str">
        <f aca="false">장비_기본!J42</f>
        <v>전투 시작 시 파티 HP [값]% 회복</v>
      </c>
      <c r="J308" s="20" t="n">
        <f aca="false">ROUND(장비_기본!K42*INDEX(등급!$F$5:$F$12,MATCH($D308,등급!$A$5:$A$12,0)),1)</f>
        <v>9</v>
      </c>
      <c r="K308" s="19" t="n">
        <f aca="false">INDEX(등급!$D$5:$D$12,MATCH($D308,등급!$A$5:$A$12,0))</f>
        <v>4</v>
      </c>
      <c r="L308" s="19" t="str">
        <f aca="false">IF(INDEX(등급!$H$5:$H$12,MATCH($D308,등급!$A$5:$A$12,0))=0,"-",IF(INDEX(등급!$G$5:$G$12,MATCH($D308,등급!$A$5:$A$12,0))=INDEX(등급!$H$5:$H$12,MATCH($D308,등급!$A$5:$A$12,0)),INDEX(등급!$G$5:$G$12,MATCH($D308,등급!$A$5:$A$12,0))&amp;"칸",INDEX(등급!$G$5:$G$12,MATCH($D308,등급!$A$5:$A$12,0))&amp;"~"&amp;INDEX(등급!$H$5:$H$12,MATCH($D308,등급!$A$5:$A$12,0))&amp;"칸"))</f>
        <v>1~3칸</v>
      </c>
      <c r="M308" s="19" t="str">
        <f aca="false">IF(INDEX(등급!$J$5:$J$12,MATCH($D308,등급!$A$5:$A$12,0))=0,"-",IF(INDEX(등급!$I$5:$I$12,MATCH($D308,등급!$A$5:$A$12,0))=INDEX(등급!$J$5:$J$12,MATCH($D308,등급!$A$5:$A$12,0)),INDEX(등급!$I$5:$I$12,MATCH($D308,등급!$A$5:$A$12,0))&amp;"개",INDEX(등급!$I$5:$I$12,MATCH($D308,등급!$A$5:$A$12,0))&amp;"~"&amp;INDEX(등급!$J$5:$J$12,MATCH($D308,등급!$A$5:$A$12,0))&amp;"개"))</f>
        <v>1개</v>
      </c>
      <c r="N308" s="19" t="str">
        <f aca="false">IF(INDEX(등급!$L$5:$L$12,MATCH($D308,등급!$A$5:$A$12,0))=0,"-",INDEX(등급!$K$5:$K$12,MATCH($D308,등급!$A$5:$A$12,0))&amp;"~"&amp;INDEX(등급!$L$5:$L$12,MATCH($D308,등급!$A$5:$A$12,0))&amp;"개")</f>
        <v>0~2개</v>
      </c>
    </row>
    <row r="309" customFormat="false" ht="15" hidden="false" customHeight="false" outlineLevel="0" collapsed="false">
      <c r="A309" s="19" t="str">
        <f aca="false">장비_기본!B43</f>
        <v>성녀의 소울 메달</v>
      </c>
      <c r="B309" s="19" t="str">
        <f aca="false">장비_기본!C43</f>
        <v>소울 메달</v>
      </c>
      <c r="C309" s="19" t="str">
        <f aca="false">장비_기본!D43</f>
        <v>서포터</v>
      </c>
      <c r="D309" s="8" t="s">
        <v>43</v>
      </c>
      <c r="E309" s="19" t="str">
        <f aca="false">장비_기본!F43</f>
        <v>회복량</v>
      </c>
      <c r="F309" s="21" t="n">
        <f aca="false">장비_기본!G43*INDEX(등급!$C$5:$C$12,MATCH($D309,등급!$A$5:$A$12,0))</f>
        <v>0.05</v>
      </c>
      <c r="G309" s="19" t="str">
        <f aca="false">장비_기본!H43</f>
        <v>① 스킬 위력</v>
      </c>
      <c r="H309" s="21" t="n">
        <f aca="false">장비_기본!I43*INDEX(등급!$C$5:$C$12,MATCH($D309,등급!$A$5:$A$12,0))</f>
        <v>0.1</v>
      </c>
      <c r="I309" s="13" t="s">
        <v>78</v>
      </c>
      <c r="J309" s="12"/>
      <c r="K309" s="19" t="n">
        <f aca="false">INDEX(등급!$D$5:$D$12,MATCH($D309,등급!$A$5:$A$12,0))</f>
        <v>0</v>
      </c>
      <c r="L309" s="19" t="str">
        <f aca="false">IF(INDEX(등급!$H$5:$H$12,MATCH($D309,등급!$A$5:$A$12,0))=0,"-",IF(INDEX(등급!$G$5:$G$12,MATCH($D309,등급!$A$5:$A$12,0))=INDEX(등급!$H$5:$H$12,MATCH($D309,등급!$A$5:$A$12,0)),INDEX(등급!$G$5:$G$12,MATCH($D309,등급!$A$5:$A$12,0))&amp;"칸",INDEX(등급!$G$5:$G$12,MATCH($D309,등급!$A$5:$A$12,0))&amp;"~"&amp;INDEX(등급!$H$5:$H$12,MATCH($D309,등급!$A$5:$A$12,0))&amp;"칸"))</f>
        <v>-</v>
      </c>
      <c r="M309" s="19" t="str">
        <f aca="false">IF(INDEX(등급!$J$5:$J$12,MATCH($D309,등급!$A$5:$A$12,0))=0,"-",IF(INDEX(등급!$I$5:$I$12,MATCH($D309,등급!$A$5:$A$12,0))=INDEX(등급!$J$5:$J$12,MATCH($D309,등급!$A$5:$A$12,0)),INDEX(등급!$I$5:$I$12,MATCH($D309,등급!$A$5:$A$12,0))&amp;"개",INDEX(등급!$I$5:$I$12,MATCH($D309,등급!$A$5:$A$12,0))&amp;"~"&amp;INDEX(등급!$J$5:$J$12,MATCH($D309,등급!$A$5:$A$12,0))&amp;"개"))</f>
        <v>-</v>
      </c>
      <c r="N309" s="19" t="str">
        <f aca="false">IF(INDEX(등급!$L$5:$L$12,MATCH($D309,등급!$A$5:$A$12,0))=0,"-",INDEX(등급!$K$5:$K$12,MATCH($D309,등급!$A$5:$A$12,0))&amp;"~"&amp;INDEX(등급!$L$5:$L$12,MATCH($D309,등급!$A$5:$A$12,0))&amp;"개")</f>
        <v>-</v>
      </c>
    </row>
    <row r="310" customFormat="false" ht="15" hidden="false" customHeight="false" outlineLevel="0" collapsed="false">
      <c r="A310" s="19" t="str">
        <f aca="false">장비_기본!B43</f>
        <v>성녀의 소울 메달</v>
      </c>
      <c r="B310" s="19" t="str">
        <f aca="false">장비_기본!C43</f>
        <v>소울 메달</v>
      </c>
      <c r="C310" s="19" t="str">
        <f aca="false">장비_기본!D43</f>
        <v>서포터</v>
      </c>
      <c r="D310" s="8" t="s">
        <v>44</v>
      </c>
      <c r="E310" s="19" t="str">
        <f aca="false">장비_기본!F43</f>
        <v>회복량</v>
      </c>
      <c r="F310" s="21" t="n">
        <f aca="false">장비_기본!G43*INDEX(등급!$C$5:$C$12,MATCH($D310,등급!$A$5:$A$12,0))</f>
        <v>0.0725</v>
      </c>
      <c r="G310" s="19" t="str">
        <f aca="false">장비_기본!H43</f>
        <v>① 스킬 위력</v>
      </c>
      <c r="H310" s="21" t="n">
        <f aca="false">장비_기본!I43*INDEX(등급!$C$5:$C$12,MATCH($D310,등급!$A$5:$A$12,0))</f>
        <v>0.145</v>
      </c>
      <c r="I310" s="13" t="s">
        <v>78</v>
      </c>
      <c r="J310" s="12"/>
      <c r="K310" s="19" t="n">
        <f aca="false">INDEX(등급!$D$5:$D$12,MATCH($D310,등급!$A$5:$A$12,0))</f>
        <v>0</v>
      </c>
      <c r="L310" s="19" t="str">
        <f aca="false">IF(INDEX(등급!$H$5:$H$12,MATCH($D310,등급!$A$5:$A$12,0))=0,"-",IF(INDEX(등급!$G$5:$G$12,MATCH($D310,등급!$A$5:$A$12,0))=INDEX(등급!$H$5:$H$12,MATCH($D310,등급!$A$5:$A$12,0)),INDEX(등급!$G$5:$G$12,MATCH($D310,등급!$A$5:$A$12,0))&amp;"칸",INDEX(등급!$G$5:$G$12,MATCH($D310,등급!$A$5:$A$12,0))&amp;"~"&amp;INDEX(등급!$H$5:$H$12,MATCH($D310,등급!$A$5:$A$12,0))&amp;"칸"))</f>
        <v>-</v>
      </c>
      <c r="M310" s="19" t="str">
        <f aca="false">IF(INDEX(등급!$J$5:$J$12,MATCH($D310,등급!$A$5:$A$12,0))=0,"-",IF(INDEX(등급!$I$5:$I$12,MATCH($D310,등급!$A$5:$A$12,0))=INDEX(등급!$J$5:$J$12,MATCH($D310,등급!$A$5:$A$12,0)),INDEX(등급!$I$5:$I$12,MATCH($D310,등급!$A$5:$A$12,0))&amp;"개",INDEX(등급!$I$5:$I$12,MATCH($D310,등급!$A$5:$A$12,0))&amp;"~"&amp;INDEX(등급!$J$5:$J$12,MATCH($D310,등급!$A$5:$A$12,0))&amp;"개"))</f>
        <v>-</v>
      </c>
      <c r="N310" s="19" t="str">
        <f aca="false">IF(INDEX(등급!$L$5:$L$12,MATCH($D310,등급!$A$5:$A$12,0))=0,"-",INDEX(등급!$K$5:$K$12,MATCH($D310,등급!$A$5:$A$12,0))&amp;"~"&amp;INDEX(등급!$L$5:$L$12,MATCH($D310,등급!$A$5:$A$12,0))&amp;"개")</f>
        <v>-</v>
      </c>
    </row>
    <row r="311" customFormat="false" ht="15" hidden="false" customHeight="false" outlineLevel="0" collapsed="false">
      <c r="A311" s="19" t="str">
        <f aca="false">장비_기본!B43</f>
        <v>성녀의 소울 메달</v>
      </c>
      <c r="B311" s="19" t="str">
        <f aca="false">장비_기본!C43</f>
        <v>소울 메달</v>
      </c>
      <c r="C311" s="19" t="str">
        <f aca="false">장비_기본!D43</f>
        <v>서포터</v>
      </c>
      <c r="D311" s="8" t="s">
        <v>45</v>
      </c>
      <c r="E311" s="19" t="str">
        <f aca="false">장비_기본!F43</f>
        <v>회복량</v>
      </c>
      <c r="F311" s="21" t="n">
        <f aca="false">장비_기본!G43*INDEX(등급!$C$5:$C$12,MATCH($D311,등급!$A$5:$A$12,0))</f>
        <v>0.085</v>
      </c>
      <c r="G311" s="19" t="str">
        <f aca="false">장비_기본!H43</f>
        <v>① 스킬 위력</v>
      </c>
      <c r="H311" s="21" t="n">
        <f aca="false">장비_기본!I43*INDEX(등급!$C$5:$C$12,MATCH($D311,등급!$A$5:$A$12,0))</f>
        <v>0.17</v>
      </c>
      <c r="I311" s="13" t="s">
        <v>78</v>
      </c>
      <c r="J311" s="12"/>
      <c r="K311" s="19" t="n">
        <f aca="false">INDEX(등급!$D$5:$D$12,MATCH($D311,등급!$A$5:$A$12,0))</f>
        <v>1</v>
      </c>
      <c r="L311" s="19" t="str">
        <f aca="false">IF(INDEX(등급!$H$5:$H$12,MATCH($D311,등급!$A$5:$A$12,0))=0,"-",IF(INDEX(등급!$G$5:$G$12,MATCH($D311,등급!$A$5:$A$12,0))=INDEX(등급!$H$5:$H$12,MATCH($D311,등급!$A$5:$A$12,0)),INDEX(등급!$G$5:$G$12,MATCH($D311,등급!$A$5:$A$12,0))&amp;"칸",INDEX(등급!$G$5:$G$12,MATCH($D311,등급!$A$5:$A$12,0))&amp;"~"&amp;INDEX(등급!$H$5:$H$12,MATCH($D311,등급!$A$5:$A$12,0))&amp;"칸"))</f>
        <v>-</v>
      </c>
      <c r="M311" s="19" t="str">
        <f aca="false">IF(INDEX(등급!$J$5:$J$12,MATCH($D311,등급!$A$5:$A$12,0))=0,"-",IF(INDEX(등급!$I$5:$I$12,MATCH($D311,등급!$A$5:$A$12,0))=INDEX(등급!$J$5:$J$12,MATCH($D311,등급!$A$5:$A$12,0)),INDEX(등급!$I$5:$I$12,MATCH($D311,등급!$A$5:$A$12,0))&amp;"개",INDEX(등급!$I$5:$I$12,MATCH($D311,등급!$A$5:$A$12,0))&amp;"~"&amp;INDEX(등급!$J$5:$J$12,MATCH($D311,등급!$A$5:$A$12,0))&amp;"개"))</f>
        <v>-</v>
      </c>
      <c r="N311" s="19" t="str">
        <f aca="false">IF(INDEX(등급!$L$5:$L$12,MATCH($D311,등급!$A$5:$A$12,0))=0,"-",INDEX(등급!$K$5:$K$12,MATCH($D311,등급!$A$5:$A$12,0))&amp;"~"&amp;INDEX(등급!$L$5:$L$12,MATCH($D311,등급!$A$5:$A$12,0))&amp;"개")</f>
        <v>-</v>
      </c>
    </row>
    <row r="312" customFormat="false" ht="15" hidden="false" customHeight="false" outlineLevel="0" collapsed="false">
      <c r="A312" s="19" t="str">
        <f aca="false">장비_기본!B43</f>
        <v>성녀의 소울 메달</v>
      </c>
      <c r="B312" s="19" t="str">
        <f aca="false">장비_기본!C43</f>
        <v>소울 메달</v>
      </c>
      <c r="C312" s="19" t="str">
        <f aca="false">장비_기본!D43</f>
        <v>서포터</v>
      </c>
      <c r="D312" s="8" t="s">
        <v>46</v>
      </c>
      <c r="E312" s="19" t="str">
        <f aca="false">장비_기본!F43</f>
        <v>회복량</v>
      </c>
      <c r="F312" s="21" t="n">
        <f aca="false">장비_기본!G43*INDEX(등급!$C$5:$C$12,MATCH($D312,등급!$A$5:$A$12,0))</f>
        <v>0.105</v>
      </c>
      <c r="G312" s="19" t="str">
        <f aca="false">장비_기본!H43</f>
        <v>① 스킬 위력</v>
      </c>
      <c r="H312" s="21" t="n">
        <f aca="false">장비_기본!I43*INDEX(등급!$C$5:$C$12,MATCH($D312,등급!$A$5:$A$12,0))</f>
        <v>0.21</v>
      </c>
      <c r="I312" s="13" t="s">
        <v>78</v>
      </c>
      <c r="J312" s="12"/>
      <c r="K312" s="19" t="n">
        <f aca="false">INDEX(등급!$D$5:$D$12,MATCH($D312,등급!$A$5:$A$12,0))</f>
        <v>2</v>
      </c>
      <c r="L312" s="19" t="str">
        <f aca="false">IF(INDEX(등급!$H$5:$H$12,MATCH($D312,등급!$A$5:$A$12,0))=0,"-",IF(INDEX(등급!$G$5:$G$12,MATCH($D312,등급!$A$5:$A$12,0))=INDEX(등급!$H$5:$H$12,MATCH($D312,등급!$A$5:$A$12,0)),INDEX(등급!$G$5:$G$12,MATCH($D312,등급!$A$5:$A$12,0))&amp;"칸",INDEX(등급!$G$5:$G$12,MATCH($D312,등급!$A$5:$A$12,0))&amp;"~"&amp;INDEX(등급!$H$5:$H$12,MATCH($D312,등급!$A$5:$A$12,0))&amp;"칸"))</f>
        <v>-</v>
      </c>
      <c r="M312" s="19" t="str">
        <f aca="false">IF(INDEX(등급!$J$5:$J$12,MATCH($D312,등급!$A$5:$A$12,0))=0,"-",IF(INDEX(등급!$I$5:$I$12,MATCH($D312,등급!$A$5:$A$12,0))=INDEX(등급!$J$5:$J$12,MATCH($D312,등급!$A$5:$A$12,0)),INDEX(등급!$I$5:$I$12,MATCH($D312,등급!$A$5:$A$12,0))&amp;"개",INDEX(등급!$I$5:$I$12,MATCH($D312,등급!$A$5:$A$12,0))&amp;"~"&amp;INDEX(등급!$J$5:$J$12,MATCH($D312,등급!$A$5:$A$12,0))&amp;"개"))</f>
        <v>-</v>
      </c>
      <c r="N312" s="19" t="str">
        <f aca="false">IF(INDEX(등급!$L$5:$L$12,MATCH($D312,등급!$A$5:$A$12,0))=0,"-",INDEX(등급!$K$5:$K$12,MATCH($D312,등급!$A$5:$A$12,0))&amp;"~"&amp;INDEX(등급!$L$5:$L$12,MATCH($D312,등급!$A$5:$A$12,0))&amp;"개")</f>
        <v>-</v>
      </c>
    </row>
    <row r="313" customFormat="false" ht="15" hidden="false" customHeight="false" outlineLevel="0" collapsed="false">
      <c r="A313" s="19" t="str">
        <f aca="false">장비_기본!B43</f>
        <v>성녀의 소울 메달</v>
      </c>
      <c r="B313" s="19" t="str">
        <f aca="false">장비_기본!C43</f>
        <v>소울 메달</v>
      </c>
      <c r="C313" s="19" t="str">
        <f aca="false">장비_기본!D43</f>
        <v>서포터</v>
      </c>
      <c r="D313" s="8" t="s">
        <v>47</v>
      </c>
      <c r="E313" s="19" t="str">
        <f aca="false">장비_기본!F43</f>
        <v>회복량</v>
      </c>
      <c r="F313" s="21" t="n">
        <f aca="false">장비_기본!G43*INDEX(등급!$C$5:$C$12,MATCH($D313,등급!$A$5:$A$12,0))</f>
        <v>0.1275</v>
      </c>
      <c r="G313" s="19" t="str">
        <f aca="false">장비_기본!H43</f>
        <v>① 스킬 위력</v>
      </c>
      <c r="H313" s="21" t="n">
        <f aca="false">장비_기본!I43*INDEX(등급!$C$5:$C$12,MATCH($D313,등급!$A$5:$A$12,0))</f>
        <v>0.255</v>
      </c>
      <c r="I313" s="13" t="s">
        <v>78</v>
      </c>
      <c r="J313" s="12"/>
      <c r="K313" s="19" t="n">
        <f aca="false">INDEX(등급!$D$5:$D$12,MATCH($D313,등급!$A$5:$A$12,0))</f>
        <v>3</v>
      </c>
      <c r="L313" s="19" t="str">
        <f aca="false">IF(INDEX(등급!$H$5:$H$12,MATCH($D313,등급!$A$5:$A$12,0))=0,"-",IF(INDEX(등급!$G$5:$G$12,MATCH($D313,등급!$A$5:$A$12,0))=INDEX(등급!$H$5:$H$12,MATCH($D313,등급!$A$5:$A$12,0)),INDEX(등급!$G$5:$G$12,MATCH($D313,등급!$A$5:$A$12,0))&amp;"칸",INDEX(등급!$G$5:$G$12,MATCH($D313,등급!$A$5:$A$12,0))&amp;"~"&amp;INDEX(등급!$H$5:$H$12,MATCH($D313,등급!$A$5:$A$12,0))&amp;"칸"))</f>
        <v>-</v>
      </c>
      <c r="M313" s="19" t="str">
        <f aca="false">IF(INDEX(등급!$J$5:$J$12,MATCH($D313,등급!$A$5:$A$12,0))=0,"-",IF(INDEX(등급!$I$5:$I$12,MATCH($D313,등급!$A$5:$A$12,0))=INDEX(등급!$J$5:$J$12,MATCH($D313,등급!$A$5:$A$12,0)),INDEX(등급!$I$5:$I$12,MATCH($D313,등급!$A$5:$A$12,0))&amp;"개",INDEX(등급!$I$5:$I$12,MATCH($D313,등급!$A$5:$A$12,0))&amp;"~"&amp;INDEX(등급!$J$5:$J$12,MATCH($D313,등급!$A$5:$A$12,0))&amp;"개"))</f>
        <v>-</v>
      </c>
      <c r="N313" s="19" t="str">
        <f aca="false">IF(INDEX(등급!$L$5:$L$12,MATCH($D313,등급!$A$5:$A$12,0))=0,"-",INDEX(등급!$K$5:$K$12,MATCH($D313,등급!$A$5:$A$12,0))&amp;"~"&amp;INDEX(등급!$L$5:$L$12,MATCH($D313,등급!$A$5:$A$12,0))&amp;"개")</f>
        <v>-</v>
      </c>
    </row>
    <row r="314" customFormat="false" ht="15" hidden="false" customHeight="false" outlineLevel="0" collapsed="false">
      <c r="A314" s="19" t="str">
        <f aca="false">장비_기본!B43</f>
        <v>성녀의 소울 메달</v>
      </c>
      <c r="B314" s="19" t="str">
        <f aca="false">장비_기본!C43</f>
        <v>소울 메달</v>
      </c>
      <c r="C314" s="19" t="str">
        <f aca="false">장비_기본!D43</f>
        <v>서포터</v>
      </c>
      <c r="D314" s="8" t="s">
        <v>48</v>
      </c>
      <c r="E314" s="19" t="str">
        <f aca="false">장비_기본!F43</f>
        <v>회복량</v>
      </c>
      <c r="F314" s="21" t="n">
        <f aca="false">장비_기본!G43*INDEX(등급!$C$5:$C$12,MATCH($D314,등급!$A$5:$A$12,0))</f>
        <v>0.1525</v>
      </c>
      <c r="G314" s="19" t="str">
        <f aca="false">장비_기본!H43</f>
        <v>① 스킬 위력</v>
      </c>
      <c r="H314" s="21" t="n">
        <f aca="false">장비_기본!I43*INDEX(등급!$C$5:$C$12,MATCH($D314,등급!$A$5:$A$12,0))</f>
        <v>0.305</v>
      </c>
      <c r="I314" s="13" t="s">
        <v>78</v>
      </c>
      <c r="J314" s="12"/>
      <c r="K314" s="19" t="n">
        <f aca="false">INDEX(등급!$D$5:$D$12,MATCH($D314,등급!$A$5:$A$12,0))</f>
        <v>4</v>
      </c>
      <c r="L314" s="19" t="str">
        <f aca="false">IF(INDEX(등급!$H$5:$H$12,MATCH($D314,등급!$A$5:$A$12,0))=0,"-",IF(INDEX(등급!$G$5:$G$12,MATCH($D314,등급!$A$5:$A$12,0))=INDEX(등급!$H$5:$H$12,MATCH($D314,등급!$A$5:$A$12,0)),INDEX(등급!$G$5:$G$12,MATCH($D314,등급!$A$5:$A$12,0))&amp;"칸",INDEX(등급!$G$5:$G$12,MATCH($D314,등급!$A$5:$A$12,0))&amp;"~"&amp;INDEX(등급!$H$5:$H$12,MATCH($D314,등급!$A$5:$A$12,0))&amp;"칸"))</f>
        <v>-</v>
      </c>
      <c r="M314" s="19" t="str">
        <f aca="false">IF(INDEX(등급!$J$5:$J$12,MATCH($D314,등급!$A$5:$A$12,0))=0,"-",IF(INDEX(등급!$I$5:$I$12,MATCH($D314,등급!$A$5:$A$12,0))=INDEX(등급!$J$5:$J$12,MATCH($D314,등급!$A$5:$A$12,0)),INDEX(등급!$I$5:$I$12,MATCH($D314,등급!$A$5:$A$12,0))&amp;"개",INDEX(등급!$I$5:$I$12,MATCH($D314,등급!$A$5:$A$12,0))&amp;"~"&amp;INDEX(등급!$J$5:$J$12,MATCH($D314,등급!$A$5:$A$12,0))&amp;"개"))</f>
        <v>-</v>
      </c>
      <c r="N314" s="19" t="str">
        <f aca="false">IF(INDEX(등급!$L$5:$L$12,MATCH($D314,등급!$A$5:$A$12,0))=0,"-",INDEX(등급!$K$5:$K$12,MATCH($D314,등급!$A$5:$A$12,0))&amp;"~"&amp;INDEX(등급!$L$5:$L$12,MATCH($D314,등급!$A$5:$A$12,0))&amp;"개")</f>
        <v>-</v>
      </c>
    </row>
    <row r="315" customFormat="false" ht="15" hidden="false" customHeight="false" outlineLevel="0" collapsed="false">
      <c r="A315" s="19" t="str">
        <f aca="false">장비_기본!B43</f>
        <v>성녀의 소울 메달</v>
      </c>
      <c r="B315" s="19" t="str">
        <f aca="false">장비_기본!C43</f>
        <v>소울 메달</v>
      </c>
      <c r="C315" s="19" t="str">
        <f aca="false">장비_기본!D43</f>
        <v>서포터</v>
      </c>
      <c r="D315" s="8" t="s">
        <v>49</v>
      </c>
      <c r="E315" s="19" t="str">
        <f aca="false">장비_기본!F43</f>
        <v>회복량</v>
      </c>
      <c r="F315" s="21" t="n">
        <f aca="false">장비_기본!G43*INDEX(등급!$C$5:$C$12,MATCH($D315,등급!$A$5:$A$12,0))</f>
        <v>0.16</v>
      </c>
      <c r="G315" s="19" t="str">
        <f aca="false">장비_기본!H43</f>
        <v>① 스킬 위력</v>
      </c>
      <c r="H315" s="21" t="n">
        <f aca="false">장비_기본!I43*INDEX(등급!$C$5:$C$12,MATCH($D315,등급!$A$5:$A$12,0))</f>
        <v>0.32</v>
      </c>
      <c r="I315" s="13" t="s">
        <v>78</v>
      </c>
      <c r="J315" s="12"/>
      <c r="K315" s="19" t="n">
        <f aca="false">INDEX(등급!$D$5:$D$12,MATCH($D315,등급!$A$5:$A$12,0))</f>
        <v>4</v>
      </c>
      <c r="L315" s="19" t="str">
        <f aca="false">IF(INDEX(등급!$H$5:$H$12,MATCH($D315,등급!$A$5:$A$12,0))=0,"-",IF(INDEX(등급!$G$5:$G$12,MATCH($D315,등급!$A$5:$A$12,0))=INDEX(등급!$H$5:$H$12,MATCH($D315,등급!$A$5:$A$12,0)),INDEX(등급!$G$5:$G$12,MATCH($D315,등급!$A$5:$A$12,0))&amp;"칸",INDEX(등급!$G$5:$G$12,MATCH($D315,등급!$A$5:$A$12,0))&amp;"~"&amp;INDEX(등급!$H$5:$H$12,MATCH($D315,등급!$A$5:$A$12,0))&amp;"칸"))</f>
        <v>1칸</v>
      </c>
      <c r="M315" s="19" t="str">
        <f aca="false">IF(INDEX(등급!$J$5:$J$12,MATCH($D315,등급!$A$5:$A$12,0))=0,"-",IF(INDEX(등급!$I$5:$I$12,MATCH($D315,등급!$A$5:$A$12,0))=INDEX(등급!$J$5:$J$12,MATCH($D315,등급!$A$5:$A$12,0)),INDEX(등급!$I$5:$I$12,MATCH($D315,등급!$A$5:$A$12,0))&amp;"개",INDEX(등급!$I$5:$I$12,MATCH($D315,등급!$A$5:$A$12,0))&amp;"~"&amp;INDEX(등급!$J$5:$J$12,MATCH($D315,등급!$A$5:$A$12,0))&amp;"개"))</f>
        <v>0~1개</v>
      </c>
      <c r="N315" s="19" t="str">
        <f aca="false">IF(INDEX(등급!$L$5:$L$12,MATCH($D315,등급!$A$5:$A$12,0))=0,"-",INDEX(등급!$K$5:$K$12,MATCH($D315,등급!$A$5:$A$12,0))&amp;"~"&amp;INDEX(등급!$L$5:$L$12,MATCH($D315,등급!$A$5:$A$12,0))&amp;"개")</f>
        <v>0~1개</v>
      </c>
    </row>
    <row r="316" customFormat="false" ht="15" hidden="false" customHeight="false" outlineLevel="0" collapsed="false">
      <c r="A316" s="19" t="str">
        <f aca="false">장비_기본!B43</f>
        <v>성녀의 소울 메달</v>
      </c>
      <c r="B316" s="19" t="str">
        <f aca="false">장비_기본!C43</f>
        <v>소울 메달</v>
      </c>
      <c r="C316" s="19" t="str">
        <f aca="false">장비_기본!D43</f>
        <v>서포터</v>
      </c>
      <c r="D316" s="8" t="s">
        <v>51</v>
      </c>
      <c r="E316" s="19" t="str">
        <f aca="false">장비_기본!F43</f>
        <v>회복량</v>
      </c>
      <c r="F316" s="21" t="n">
        <f aca="false">장비_기본!G43*INDEX(등급!$C$5:$C$12,MATCH($D316,등급!$A$5:$A$12,0))</f>
        <v>0.165</v>
      </c>
      <c r="G316" s="19" t="str">
        <f aca="false">장비_기본!H43</f>
        <v>① 스킬 위력</v>
      </c>
      <c r="H316" s="21" t="n">
        <f aca="false">장비_기본!I43*INDEX(등급!$C$5:$C$12,MATCH($D316,등급!$A$5:$A$12,0))</f>
        <v>0.33</v>
      </c>
      <c r="I316" s="13" t="s">
        <v>78</v>
      </c>
      <c r="J316" s="12"/>
      <c r="K316" s="19" t="n">
        <f aca="false">INDEX(등급!$D$5:$D$12,MATCH($D316,등급!$A$5:$A$12,0))</f>
        <v>4</v>
      </c>
      <c r="L316" s="19" t="str">
        <f aca="false">IF(INDEX(등급!$H$5:$H$12,MATCH($D316,등급!$A$5:$A$12,0))=0,"-",IF(INDEX(등급!$G$5:$G$12,MATCH($D316,등급!$A$5:$A$12,0))=INDEX(등급!$H$5:$H$12,MATCH($D316,등급!$A$5:$A$12,0)),INDEX(등급!$G$5:$G$12,MATCH($D316,등급!$A$5:$A$12,0))&amp;"칸",INDEX(등급!$G$5:$G$12,MATCH($D316,등급!$A$5:$A$12,0))&amp;"~"&amp;INDEX(등급!$H$5:$H$12,MATCH($D316,등급!$A$5:$A$12,0))&amp;"칸"))</f>
        <v>1~3칸</v>
      </c>
      <c r="M316" s="19" t="str">
        <f aca="false">IF(INDEX(등급!$J$5:$J$12,MATCH($D316,등급!$A$5:$A$12,0))=0,"-",IF(INDEX(등급!$I$5:$I$12,MATCH($D316,등급!$A$5:$A$12,0))=INDEX(등급!$J$5:$J$12,MATCH($D316,등급!$A$5:$A$12,0)),INDEX(등급!$I$5:$I$12,MATCH($D316,등급!$A$5:$A$12,0))&amp;"개",INDEX(등급!$I$5:$I$12,MATCH($D316,등급!$A$5:$A$12,0))&amp;"~"&amp;INDEX(등급!$J$5:$J$12,MATCH($D316,등급!$A$5:$A$12,0))&amp;"개"))</f>
        <v>1개</v>
      </c>
      <c r="N316" s="19" t="str">
        <f aca="false">IF(INDEX(등급!$L$5:$L$12,MATCH($D316,등급!$A$5:$A$12,0))=0,"-",INDEX(등급!$K$5:$K$12,MATCH($D316,등급!$A$5:$A$12,0))&amp;"~"&amp;INDEX(등급!$L$5:$L$12,MATCH($D316,등급!$A$5:$A$12,0))&amp;"개")</f>
        <v>0~2개</v>
      </c>
    </row>
    <row r="317" customFormat="false" ht="15" hidden="false" customHeight="false" outlineLevel="0" collapsed="false">
      <c r="A317" s="19" t="str">
        <f aca="false">장비_기본!B44</f>
        <v>다정함의 소울 메달</v>
      </c>
      <c r="B317" s="19" t="str">
        <f aca="false">장비_기본!C44</f>
        <v>소울 메달</v>
      </c>
      <c r="C317" s="19" t="str">
        <f aca="false">장비_기본!D44</f>
        <v>서포터</v>
      </c>
      <c r="D317" s="8" t="s">
        <v>43</v>
      </c>
      <c r="E317" s="19" t="str">
        <f aca="false">장비_기본!F44</f>
        <v>회복량</v>
      </c>
      <c r="F317" s="21" t="n">
        <f aca="false">장비_기본!G44*INDEX(등급!$C$5:$C$12,MATCH($D317,등급!$A$5:$A$12,0))</f>
        <v>0.05</v>
      </c>
      <c r="G317" s="19" t="str">
        <f aca="false">장비_기본!H44</f>
        <v>② 스킬 위력</v>
      </c>
      <c r="H317" s="21" t="n">
        <f aca="false">장비_기본!I44*INDEX(등급!$C$5:$C$12,MATCH($D317,등급!$A$5:$A$12,0))</f>
        <v>0.1</v>
      </c>
      <c r="I317" s="13" t="s">
        <v>78</v>
      </c>
      <c r="J317" s="12"/>
      <c r="K317" s="19" t="n">
        <f aca="false">INDEX(등급!$D$5:$D$12,MATCH($D317,등급!$A$5:$A$12,0))</f>
        <v>0</v>
      </c>
      <c r="L317" s="19" t="str">
        <f aca="false">IF(INDEX(등급!$H$5:$H$12,MATCH($D317,등급!$A$5:$A$12,0))=0,"-",IF(INDEX(등급!$G$5:$G$12,MATCH($D317,등급!$A$5:$A$12,0))=INDEX(등급!$H$5:$H$12,MATCH($D317,등급!$A$5:$A$12,0)),INDEX(등급!$G$5:$G$12,MATCH($D317,등급!$A$5:$A$12,0))&amp;"칸",INDEX(등급!$G$5:$G$12,MATCH($D317,등급!$A$5:$A$12,0))&amp;"~"&amp;INDEX(등급!$H$5:$H$12,MATCH($D317,등급!$A$5:$A$12,0))&amp;"칸"))</f>
        <v>-</v>
      </c>
      <c r="M317" s="19" t="str">
        <f aca="false">IF(INDEX(등급!$J$5:$J$12,MATCH($D317,등급!$A$5:$A$12,0))=0,"-",IF(INDEX(등급!$I$5:$I$12,MATCH($D317,등급!$A$5:$A$12,0))=INDEX(등급!$J$5:$J$12,MATCH($D317,등급!$A$5:$A$12,0)),INDEX(등급!$I$5:$I$12,MATCH($D317,등급!$A$5:$A$12,0))&amp;"개",INDEX(등급!$I$5:$I$12,MATCH($D317,등급!$A$5:$A$12,0))&amp;"~"&amp;INDEX(등급!$J$5:$J$12,MATCH($D317,등급!$A$5:$A$12,0))&amp;"개"))</f>
        <v>-</v>
      </c>
      <c r="N317" s="19" t="str">
        <f aca="false">IF(INDEX(등급!$L$5:$L$12,MATCH($D317,등급!$A$5:$A$12,0))=0,"-",INDEX(등급!$K$5:$K$12,MATCH($D317,등급!$A$5:$A$12,0))&amp;"~"&amp;INDEX(등급!$L$5:$L$12,MATCH($D317,등급!$A$5:$A$12,0))&amp;"개")</f>
        <v>-</v>
      </c>
    </row>
    <row r="318" customFormat="false" ht="15" hidden="false" customHeight="false" outlineLevel="0" collapsed="false">
      <c r="A318" s="19" t="str">
        <f aca="false">장비_기본!B44</f>
        <v>다정함의 소울 메달</v>
      </c>
      <c r="B318" s="19" t="str">
        <f aca="false">장비_기본!C44</f>
        <v>소울 메달</v>
      </c>
      <c r="C318" s="19" t="str">
        <f aca="false">장비_기본!D44</f>
        <v>서포터</v>
      </c>
      <c r="D318" s="8" t="s">
        <v>44</v>
      </c>
      <c r="E318" s="19" t="str">
        <f aca="false">장비_기본!F44</f>
        <v>회복량</v>
      </c>
      <c r="F318" s="21" t="n">
        <f aca="false">장비_기본!G44*INDEX(등급!$C$5:$C$12,MATCH($D318,등급!$A$5:$A$12,0))</f>
        <v>0.0725</v>
      </c>
      <c r="G318" s="19" t="str">
        <f aca="false">장비_기본!H44</f>
        <v>② 스킬 위력</v>
      </c>
      <c r="H318" s="21" t="n">
        <f aca="false">장비_기본!I44*INDEX(등급!$C$5:$C$12,MATCH($D318,등급!$A$5:$A$12,0))</f>
        <v>0.145</v>
      </c>
      <c r="I318" s="13" t="s">
        <v>78</v>
      </c>
      <c r="J318" s="12"/>
      <c r="K318" s="19" t="n">
        <f aca="false">INDEX(등급!$D$5:$D$12,MATCH($D318,등급!$A$5:$A$12,0))</f>
        <v>0</v>
      </c>
      <c r="L318" s="19" t="str">
        <f aca="false">IF(INDEX(등급!$H$5:$H$12,MATCH($D318,등급!$A$5:$A$12,0))=0,"-",IF(INDEX(등급!$G$5:$G$12,MATCH($D318,등급!$A$5:$A$12,0))=INDEX(등급!$H$5:$H$12,MATCH($D318,등급!$A$5:$A$12,0)),INDEX(등급!$G$5:$G$12,MATCH($D318,등급!$A$5:$A$12,0))&amp;"칸",INDEX(등급!$G$5:$G$12,MATCH($D318,등급!$A$5:$A$12,0))&amp;"~"&amp;INDEX(등급!$H$5:$H$12,MATCH($D318,등급!$A$5:$A$12,0))&amp;"칸"))</f>
        <v>-</v>
      </c>
      <c r="M318" s="19" t="str">
        <f aca="false">IF(INDEX(등급!$J$5:$J$12,MATCH($D318,등급!$A$5:$A$12,0))=0,"-",IF(INDEX(등급!$I$5:$I$12,MATCH($D318,등급!$A$5:$A$12,0))=INDEX(등급!$J$5:$J$12,MATCH($D318,등급!$A$5:$A$12,0)),INDEX(등급!$I$5:$I$12,MATCH($D318,등급!$A$5:$A$12,0))&amp;"개",INDEX(등급!$I$5:$I$12,MATCH($D318,등급!$A$5:$A$12,0))&amp;"~"&amp;INDEX(등급!$J$5:$J$12,MATCH($D318,등급!$A$5:$A$12,0))&amp;"개"))</f>
        <v>-</v>
      </c>
      <c r="N318" s="19" t="str">
        <f aca="false">IF(INDEX(등급!$L$5:$L$12,MATCH($D318,등급!$A$5:$A$12,0))=0,"-",INDEX(등급!$K$5:$K$12,MATCH($D318,등급!$A$5:$A$12,0))&amp;"~"&amp;INDEX(등급!$L$5:$L$12,MATCH($D318,등급!$A$5:$A$12,0))&amp;"개")</f>
        <v>-</v>
      </c>
    </row>
    <row r="319" customFormat="false" ht="15" hidden="false" customHeight="false" outlineLevel="0" collapsed="false">
      <c r="A319" s="19" t="str">
        <f aca="false">장비_기본!B44</f>
        <v>다정함의 소울 메달</v>
      </c>
      <c r="B319" s="19" t="str">
        <f aca="false">장비_기본!C44</f>
        <v>소울 메달</v>
      </c>
      <c r="C319" s="19" t="str">
        <f aca="false">장비_기본!D44</f>
        <v>서포터</v>
      </c>
      <c r="D319" s="8" t="s">
        <v>45</v>
      </c>
      <c r="E319" s="19" t="str">
        <f aca="false">장비_기본!F44</f>
        <v>회복량</v>
      </c>
      <c r="F319" s="21" t="n">
        <f aca="false">장비_기본!G44*INDEX(등급!$C$5:$C$12,MATCH($D319,등급!$A$5:$A$12,0))</f>
        <v>0.085</v>
      </c>
      <c r="G319" s="19" t="str">
        <f aca="false">장비_기본!H44</f>
        <v>② 스킬 위력</v>
      </c>
      <c r="H319" s="21" t="n">
        <f aca="false">장비_기본!I44*INDEX(등급!$C$5:$C$12,MATCH($D319,등급!$A$5:$A$12,0))</f>
        <v>0.17</v>
      </c>
      <c r="I319" s="13" t="s">
        <v>78</v>
      </c>
      <c r="J319" s="12"/>
      <c r="K319" s="19" t="n">
        <f aca="false">INDEX(등급!$D$5:$D$12,MATCH($D319,등급!$A$5:$A$12,0))</f>
        <v>1</v>
      </c>
      <c r="L319" s="19" t="str">
        <f aca="false">IF(INDEX(등급!$H$5:$H$12,MATCH($D319,등급!$A$5:$A$12,0))=0,"-",IF(INDEX(등급!$G$5:$G$12,MATCH($D319,등급!$A$5:$A$12,0))=INDEX(등급!$H$5:$H$12,MATCH($D319,등급!$A$5:$A$12,0)),INDEX(등급!$G$5:$G$12,MATCH($D319,등급!$A$5:$A$12,0))&amp;"칸",INDEX(등급!$G$5:$G$12,MATCH($D319,등급!$A$5:$A$12,0))&amp;"~"&amp;INDEX(등급!$H$5:$H$12,MATCH($D319,등급!$A$5:$A$12,0))&amp;"칸"))</f>
        <v>-</v>
      </c>
      <c r="M319" s="19" t="str">
        <f aca="false">IF(INDEX(등급!$J$5:$J$12,MATCH($D319,등급!$A$5:$A$12,0))=0,"-",IF(INDEX(등급!$I$5:$I$12,MATCH($D319,등급!$A$5:$A$12,0))=INDEX(등급!$J$5:$J$12,MATCH($D319,등급!$A$5:$A$12,0)),INDEX(등급!$I$5:$I$12,MATCH($D319,등급!$A$5:$A$12,0))&amp;"개",INDEX(등급!$I$5:$I$12,MATCH($D319,등급!$A$5:$A$12,0))&amp;"~"&amp;INDEX(등급!$J$5:$J$12,MATCH($D319,등급!$A$5:$A$12,0))&amp;"개"))</f>
        <v>-</v>
      </c>
      <c r="N319" s="19" t="str">
        <f aca="false">IF(INDEX(등급!$L$5:$L$12,MATCH($D319,등급!$A$5:$A$12,0))=0,"-",INDEX(등급!$K$5:$K$12,MATCH($D319,등급!$A$5:$A$12,0))&amp;"~"&amp;INDEX(등급!$L$5:$L$12,MATCH($D319,등급!$A$5:$A$12,0))&amp;"개")</f>
        <v>-</v>
      </c>
    </row>
    <row r="320" customFormat="false" ht="15" hidden="false" customHeight="false" outlineLevel="0" collapsed="false">
      <c r="A320" s="19" t="str">
        <f aca="false">장비_기본!B44</f>
        <v>다정함의 소울 메달</v>
      </c>
      <c r="B320" s="19" t="str">
        <f aca="false">장비_기본!C44</f>
        <v>소울 메달</v>
      </c>
      <c r="C320" s="19" t="str">
        <f aca="false">장비_기본!D44</f>
        <v>서포터</v>
      </c>
      <c r="D320" s="8" t="s">
        <v>46</v>
      </c>
      <c r="E320" s="19" t="str">
        <f aca="false">장비_기본!F44</f>
        <v>회복량</v>
      </c>
      <c r="F320" s="21" t="n">
        <f aca="false">장비_기본!G44*INDEX(등급!$C$5:$C$12,MATCH($D320,등급!$A$5:$A$12,0))</f>
        <v>0.105</v>
      </c>
      <c r="G320" s="19" t="str">
        <f aca="false">장비_기본!H44</f>
        <v>② 스킬 위력</v>
      </c>
      <c r="H320" s="21" t="n">
        <f aca="false">장비_기본!I44*INDEX(등급!$C$5:$C$12,MATCH($D320,등급!$A$5:$A$12,0))</f>
        <v>0.21</v>
      </c>
      <c r="I320" s="13" t="s">
        <v>78</v>
      </c>
      <c r="J320" s="12"/>
      <c r="K320" s="19" t="n">
        <f aca="false">INDEX(등급!$D$5:$D$12,MATCH($D320,등급!$A$5:$A$12,0))</f>
        <v>2</v>
      </c>
      <c r="L320" s="19" t="str">
        <f aca="false">IF(INDEX(등급!$H$5:$H$12,MATCH($D320,등급!$A$5:$A$12,0))=0,"-",IF(INDEX(등급!$G$5:$G$12,MATCH($D320,등급!$A$5:$A$12,0))=INDEX(등급!$H$5:$H$12,MATCH($D320,등급!$A$5:$A$12,0)),INDEX(등급!$G$5:$G$12,MATCH($D320,등급!$A$5:$A$12,0))&amp;"칸",INDEX(등급!$G$5:$G$12,MATCH($D320,등급!$A$5:$A$12,0))&amp;"~"&amp;INDEX(등급!$H$5:$H$12,MATCH($D320,등급!$A$5:$A$12,0))&amp;"칸"))</f>
        <v>-</v>
      </c>
      <c r="M320" s="19" t="str">
        <f aca="false">IF(INDEX(등급!$J$5:$J$12,MATCH($D320,등급!$A$5:$A$12,0))=0,"-",IF(INDEX(등급!$I$5:$I$12,MATCH($D320,등급!$A$5:$A$12,0))=INDEX(등급!$J$5:$J$12,MATCH($D320,등급!$A$5:$A$12,0)),INDEX(등급!$I$5:$I$12,MATCH($D320,등급!$A$5:$A$12,0))&amp;"개",INDEX(등급!$I$5:$I$12,MATCH($D320,등급!$A$5:$A$12,0))&amp;"~"&amp;INDEX(등급!$J$5:$J$12,MATCH($D320,등급!$A$5:$A$12,0))&amp;"개"))</f>
        <v>-</v>
      </c>
      <c r="N320" s="19" t="str">
        <f aca="false">IF(INDEX(등급!$L$5:$L$12,MATCH($D320,등급!$A$5:$A$12,0))=0,"-",INDEX(등급!$K$5:$K$12,MATCH($D320,등급!$A$5:$A$12,0))&amp;"~"&amp;INDEX(등급!$L$5:$L$12,MATCH($D320,등급!$A$5:$A$12,0))&amp;"개")</f>
        <v>-</v>
      </c>
    </row>
    <row r="321" customFormat="false" ht="15" hidden="false" customHeight="false" outlineLevel="0" collapsed="false">
      <c r="A321" s="19" t="str">
        <f aca="false">장비_기본!B44</f>
        <v>다정함의 소울 메달</v>
      </c>
      <c r="B321" s="19" t="str">
        <f aca="false">장비_기본!C44</f>
        <v>소울 메달</v>
      </c>
      <c r="C321" s="19" t="str">
        <f aca="false">장비_기본!D44</f>
        <v>서포터</v>
      </c>
      <c r="D321" s="8" t="s">
        <v>47</v>
      </c>
      <c r="E321" s="19" t="str">
        <f aca="false">장비_기본!F44</f>
        <v>회복량</v>
      </c>
      <c r="F321" s="21" t="n">
        <f aca="false">장비_기본!G44*INDEX(등급!$C$5:$C$12,MATCH($D321,등급!$A$5:$A$12,0))</f>
        <v>0.1275</v>
      </c>
      <c r="G321" s="19" t="str">
        <f aca="false">장비_기본!H44</f>
        <v>② 스킬 위력</v>
      </c>
      <c r="H321" s="21" t="n">
        <f aca="false">장비_기본!I44*INDEX(등급!$C$5:$C$12,MATCH($D321,등급!$A$5:$A$12,0))</f>
        <v>0.255</v>
      </c>
      <c r="I321" s="13" t="s">
        <v>78</v>
      </c>
      <c r="J321" s="12"/>
      <c r="K321" s="19" t="n">
        <f aca="false">INDEX(등급!$D$5:$D$12,MATCH($D321,등급!$A$5:$A$12,0))</f>
        <v>3</v>
      </c>
      <c r="L321" s="19" t="str">
        <f aca="false">IF(INDEX(등급!$H$5:$H$12,MATCH($D321,등급!$A$5:$A$12,0))=0,"-",IF(INDEX(등급!$G$5:$G$12,MATCH($D321,등급!$A$5:$A$12,0))=INDEX(등급!$H$5:$H$12,MATCH($D321,등급!$A$5:$A$12,0)),INDEX(등급!$G$5:$G$12,MATCH($D321,등급!$A$5:$A$12,0))&amp;"칸",INDEX(등급!$G$5:$G$12,MATCH($D321,등급!$A$5:$A$12,0))&amp;"~"&amp;INDEX(등급!$H$5:$H$12,MATCH($D321,등급!$A$5:$A$12,0))&amp;"칸"))</f>
        <v>-</v>
      </c>
      <c r="M321" s="19" t="str">
        <f aca="false">IF(INDEX(등급!$J$5:$J$12,MATCH($D321,등급!$A$5:$A$12,0))=0,"-",IF(INDEX(등급!$I$5:$I$12,MATCH($D321,등급!$A$5:$A$12,0))=INDEX(등급!$J$5:$J$12,MATCH($D321,등급!$A$5:$A$12,0)),INDEX(등급!$I$5:$I$12,MATCH($D321,등급!$A$5:$A$12,0))&amp;"개",INDEX(등급!$I$5:$I$12,MATCH($D321,등급!$A$5:$A$12,0))&amp;"~"&amp;INDEX(등급!$J$5:$J$12,MATCH($D321,등급!$A$5:$A$12,0))&amp;"개"))</f>
        <v>-</v>
      </c>
      <c r="N321" s="19" t="str">
        <f aca="false">IF(INDEX(등급!$L$5:$L$12,MATCH($D321,등급!$A$5:$A$12,0))=0,"-",INDEX(등급!$K$5:$K$12,MATCH($D321,등급!$A$5:$A$12,0))&amp;"~"&amp;INDEX(등급!$L$5:$L$12,MATCH($D321,등급!$A$5:$A$12,0))&amp;"개")</f>
        <v>-</v>
      </c>
    </row>
    <row r="322" customFormat="false" ht="15" hidden="false" customHeight="false" outlineLevel="0" collapsed="false">
      <c r="A322" s="19" t="str">
        <f aca="false">장비_기본!B44</f>
        <v>다정함의 소울 메달</v>
      </c>
      <c r="B322" s="19" t="str">
        <f aca="false">장비_기본!C44</f>
        <v>소울 메달</v>
      </c>
      <c r="C322" s="19" t="str">
        <f aca="false">장비_기본!D44</f>
        <v>서포터</v>
      </c>
      <c r="D322" s="8" t="s">
        <v>48</v>
      </c>
      <c r="E322" s="19" t="str">
        <f aca="false">장비_기본!F44</f>
        <v>회복량</v>
      </c>
      <c r="F322" s="21" t="n">
        <f aca="false">장비_기본!G44*INDEX(등급!$C$5:$C$12,MATCH($D322,등급!$A$5:$A$12,0))</f>
        <v>0.1525</v>
      </c>
      <c r="G322" s="19" t="str">
        <f aca="false">장비_기본!H44</f>
        <v>② 스킬 위력</v>
      </c>
      <c r="H322" s="21" t="n">
        <f aca="false">장비_기본!I44*INDEX(등급!$C$5:$C$12,MATCH($D322,등급!$A$5:$A$12,0))</f>
        <v>0.305</v>
      </c>
      <c r="I322" s="13" t="s">
        <v>78</v>
      </c>
      <c r="J322" s="12"/>
      <c r="K322" s="19" t="n">
        <f aca="false">INDEX(등급!$D$5:$D$12,MATCH($D322,등급!$A$5:$A$12,0))</f>
        <v>4</v>
      </c>
      <c r="L322" s="19" t="str">
        <f aca="false">IF(INDEX(등급!$H$5:$H$12,MATCH($D322,등급!$A$5:$A$12,0))=0,"-",IF(INDEX(등급!$G$5:$G$12,MATCH($D322,등급!$A$5:$A$12,0))=INDEX(등급!$H$5:$H$12,MATCH($D322,등급!$A$5:$A$12,0)),INDEX(등급!$G$5:$G$12,MATCH($D322,등급!$A$5:$A$12,0))&amp;"칸",INDEX(등급!$G$5:$G$12,MATCH($D322,등급!$A$5:$A$12,0))&amp;"~"&amp;INDEX(등급!$H$5:$H$12,MATCH($D322,등급!$A$5:$A$12,0))&amp;"칸"))</f>
        <v>-</v>
      </c>
      <c r="M322" s="19" t="str">
        <f aca="false">IF(INDEX(등급!$J$5:$J$12,MATCH($D322,등급!$A$5:$A$12,0))=0,"-",IF(INDEX(등급!$I$5:$I$12,MATCH($D322,등급!$A$5:$A$12,0))=INDEX(등급!$J$5:$J$12,MATCH($D322,등급!$A$5:$A$12,0)),INDEX(등급!$I$5:$I$12,MATCH($D322,등급!$A$5:$A$12,0))&amp;"개",INDEX(등급!$I$5:$I$12,MATCH($D322,등급!$A$5:$A$12,0))&amp;"~"&amp;INDEX(등급!$J$5:$J$12,MATCH($D322,등급!$A$5:$A$12,0))&amp;"개"))</f>
        <v>-</v>
      </c>
      <c r="N322" s="19" t="str">
        <f aca="false">IF(INDEX(등급!$L$5:$L$12,MATCH($D322,등급!$A$5:$A$12,0))=0,"-",INDEX(등급!$K$5:$K$12,MATCH($D322,등급!$A$5:$A$12,0))&amp;"~"&amp;INDEX(등급!$L$5:$L$12,MATCH($D322,등급!$A$5:$A$12,0))&amp;"개")</f>
        <v>-</v>
      </c>
    </row>
    <row r="323" customFormat="false" ht="15" hidden="false" customHeight="false" outlineLevel="0" collapsed="false">
      <c r="A323" s="19" t="str">
        <f aca="false">장비_기본!B44</f>
        <v>다정함의 소울 메달</v>
      </c>
      <c r="B323" s="19" t="str">
        <f aca="false">장비_기본!C44</f>
        <v>소울 메달</v>
      </c>
      <c r="C323" s="19" t="str">
        <f aca="false">장비_기본!D44</f>
        <v>서포터</v>
      </c>
      <c r="D323" s="8" t="s">
        <v>49</v>
      </c>
      <c r="E323" s="19" t="str">
        <f aca="false">장비_기본!F44</f>
        <v>회복량</v>
      </c>
      <c r="F323" s="21" t="n">
        <f aca="false">장비_기본!G44*INDEX(등급!$C$5:$C$12,MATCH($D323,등급!$A$5:$A$12,0))</f>
        <v>0.16</v>
      </c>
      <c r="G323" s="19" t="str">
        <f aca="false">장비_기본!H44</f>
        <v>② 스킬 위력</v>
      </c>
      <c r="H323" s="21" t="n">
        <f aca="false">장비_기본!I44*INDEX(등급!$C$5:$C$12,MATCH($D323,등급!$A$5:$A$12,0))</f>
        <v>0.32</v>
      </c>
      <c r="I323" s="13" t="s">
        <v>78</v>
      </c>
      <c r="J323" s="12"/>
      <c r="K323" s="19" t="n">
        <f aca="false">INDEX(등급!$D$5:$D$12,MATCH($D323,등급!$A$5:$A$12,0))</f>
        <v>4</v>
      </c>
      <c r="L323" s="19" t="str">
        <f aca="false">IF(INDEX(등급!$H$5:$H$12,MATCH($D323,등급!$A$5:$A$12,0))=0,"-",IF(INDEX(등급!$G$5:$G$12,MATCH($D323,등급!$A$5:$A$12,0))=INDEX(등급!$H$5:$H$12,MATCH($D323,등급!$A$5:$A$12,0)),INDEX(등급!$G$5:$G$12,MATCH($D323,등급!$A$5:$A$12,0))&amp;"칸",INDEX(등급!$G$5:$G$12,MATCH($D323,등급!$A$5:$A$12,0))&amp;"~"&amp;INDEX(등급!$H$5:$H$12,MATCH($D323,등급!$A$5:$A$12,0))&amp;"칸"))</f>
        <v>1칸</v>
      </c>
      <c r="M323" s="19" t="str">
        <f aca="false">IF(INDEX(등급!$J$5:$J$12,MATCH($D323,등급!$A$5:$A$12,0))=0,"-",IF(INDEX(등급!$I$5:$I$12,MATCH($D323,등급!$A$5:$A$12,0))=INDEX(등급!$J$5:$J$12,MATCH($D323,등급!$A$5:$A$12,0)),INDEX(등급!$I$5:$I$12,MATCH($D323,등급!$A$5:$A$12,0))&amp;"개",INDEX(등급!$I$5:$I$12,MATCH($D323,등급!$A$5:$A$12,0))&amp;"~"&amp;INDEX(등급!$J$5:$J$12,MATCH($D323,등급!$A$5:$A$12,0))&amp;"개"))</f>
        <v>0~1개</v>
      </c>
      <c r="N323" s="19" t="str">
        <f aca="false">IF(INDEX(등급!$L$5:$L$12,MATCH($D323,등급!$A$5:$A$12,0))=0,"-",INDEX(등급!$K$5:$K$12,MATCH($D323,등급!$A$5:$A$12,0))&amp;"~"&amp;INDEX(등급!$L$5:$L$12,MATCH($D323,등급!$A$5:$A$12,0))&amp;"개")</f>
        <v>0~1개</v>
      </c>
    </row>
    <row r="324" customFormat="false" ht="15" hidden="false" customHeight="false" outlineLevel="0" collapsed="false">
      <c r="A324" s="19" t="str">
        <f aca="false">장비_기본!B44</f>
        <v>다정함의 소울 메달</v>
      </c>
      <c r="B324" s="19" t="str">
        <f aca="false">장비_기본!C44</f>
        <v>소울 메달</v>
      </c>
      <c r="C324" s="19" t="str">
        <f aca="false">장비_기본!D44</f>
        <v>서포터</v>
      </c>
      <c r="D324" s="8" t="s">
        <v>51</v>
      </c>
      <c r="E324" s="19" t="str">
        <f aca="false">장비_기본!F44</f>
        <v>회복량</v>
      </c>
      <c r="F324" s="21" t="n">
        <f aca="false">장비_기본!G44*INDEX(등급!$C$5:$C$12,MATCH($D324,등급!$A$5:$A$12,0))</f>
        <v>0.165</v>
      </c>
      <c r="G324" s="19" t="str">
        <f aca="false">장비_기본!H44</f>
        <v>② 스킬 위력</v>
      </c>
      <c r="H324" s="21" t="n">
        <f aca="false">장비_기본!I44*INDEX(등급!$C$5:$C$12,MATCH($D324,등급!$A$5:$A$12,0))</f>
        <v>0.33</v>
      </c>
      <c r="I324" s="13" t="s">
        <v>78</v>
      </c>
      <c r="J324" s="12"/>
      <c r="K324" s="19" t="n">
        <f aca="false">INDEX(등급!$D$5:$D$12,MATCH($D324,등급!$A$5:$A$12,0))</f>
        <v>4</v>
      </c>
      <c r="L324" s="19" t="str">
        <f aca="false">IF(INDEX(등급!$H$5:$H$12,MATCH($D324,등급!$A$5:$A$12,0))=0,"-",IF(INDEX(등급!$G$5:$G$12,MATCH($D324,등급!$A$5:$A$12,0))=INDEX(등급!$H$5:$H$12,MATCH($D324,등급!$A$5:$A$12,0)),INDEX(등급!$G$5:$G$12,MATCH($D324,등급!$A$5:$A$12,0))&amp;"칸",INDEX(등급!$G$5:$G$12,MATCH($D324,등급!$A$5:$A$12,0))&amp;"~"&amp;INDEX(등급!$H$5:$H$12,MATCH($D324,등급!$A$5:$A$12,0))&amp;"칸"))</f>
        <v>1~3칸</v>
      </c>
      <c r="M324" s="19" t="str">
        <f aca="false">IF(INDEX(등급!$J$5:$J$12,MATCH($D324,등급!$A$5:$A$12,0))=0,"-",IF(INDEX(등급!$I$5:$I$12,MATCH($D324,등급!$A$5:$A$12,0))=INDEX(등급!$J$5:$J$12,MATCH($D324,등급!$A$5:$A$12,0)),INDEX(등급!$I$5:$I$12,MATCH($D324,등급!$A$5:$A$12,0))&amp;"개",INDEX(등급!$I$5:$I$12,MATCH($D324,등급!$A$5:$A$12,0))&amp;"~"&amp;INDEX(등급!$J$5:$J$12,MATCH($D324,등급!$A$5:$A$12,0))&amp;"개"))</f>
        <v>1개</v>
      </c>
      <c r="N324" s="19" t="str">
        <f aca="false">IF(INDEX(등급!$L$5:$L$12,MATCH($D324,등급!$A$5:$A$12,0))=0,"-",INDEX(등급!$K$5:$K$12,MATCH($D324,등급!$A$5:$A$12,0))&amp;"~"&amp;INDEX(등급!$L$5:$L$12,MATCH($D324,등급!$A$5:$A$12,0))&amp;"개")</f>
        <v>0~2개</v>
      </c>
    </row>
    <row r="325" customFormat="false" ht="15" hidden="false" customHeight="false" outlineLevel="0" collapsed="false">
      <c r="A325" s="19" t="str">
        <f aca="false">장비_기본!B45</f>
        <v>힘의 반지</v>
      </c>
      <c r="B325" s="19" t="str">
        <f aca="false">장비_기본!C45</f>
        <v>반지</v>
      </c>
      <c r="C325" s="19" t="str">
        <f aca="false">장비_기본!D45</f>
        <v>공통</v>
      </c>
      <c r="D325" s="8" t="s">
        <v>43</v>
      </c>
      <c r="E325" s="19" t="str">
        <f aca="false">장비_기본!F45</f>
        <v>공격력%</v>
      </c>
      <c r="F325" s="21" t="n">
        <f aca="false">장비_기본!G45*INDEX(등급!$C$5:$C$12,MATCH($D325,등급!$A$5:$A$12,0))</f>
        <v>0.022</v>
      </c>
      <c r="G325" s="13" t="s">
        <v>78</v>
      </c>
      <c r="H325" s="12"/>
      <c r="I325" s="13" t="s">
        <v>78</v>
      </c>
      <c r="J325" s="12"/>
      <c r="K325" s="19" t="n">
        <f aca="false">INDEX(등급!$D$5:$D$12,MATCH($D325,등급!$A$5:$A$12,0))</f>
        <v>0</v>
      </c>
      <c r="L325" s="19" t="str">
        <f aca="false">IF(INDEX(등급!$H$5:$H$12,MATCH($D325,등급!$A$5:$A$12,0))=0,"-",IF(INDEX(등급!$G$5:$G$12,MATCH($D325,등급!$A$5:$A$12,0))=INDEX(등급!$H$5:$H$12,MATCH($D325,등급!$A$5:$A$12,0)),INDEX(등급!$G$5:$G$12,MATCH($D325,등급!$A$5:$A$12,0))&amp;"칸",INDEX(등급!$G$5:$G$12,MATCH($D325,등급!$A$5:$A$12,0))&amp;"~"&amp;INDEX(등급!$H$5:$H$12,MATCH($D325,등급!$A$5:$A$12,0))&amp;"칸"))</f>
        <v>-</v>
      </c>
      <c r="M325" s="19" t="str">
        <f aca="false">IF(INDEX(등급!$J$5:$J$12,MATCH($D325,등급!$A$5:$A$12,0))=0,"-",IF(INDEX(등급!$I$5:$I$12,MATCH($D325,등급!$A$5:$A$12,0))=INDEX(등급!$J$5:$J$12,MATCH($D325,등급!$A$5:$A$12,0)),INDEX(등급!$I$5:$I$12,MATCH($D325,등급!$A$5:$A$12,0))&amp;"개",INDEX(등급!$I$5:$I$12,MATCH($D325,등급!$A$5:$A$12,0))&amp;"~"&amp;INDEX(등급!$J$5:$J$12,MATCH($D325,등급!$A$5:$A$12,0))&amp;"개"))</f>
        <v>-</v>
      </c>
      <c r="N325" s="19" t="str">
        <f aca="false">IF(INDEX(등급!$L$5:$L$12,MATCH($D325,등급!$A$5:$A$12,0))=0,"-",INDEX(등급!$K$5:$K$12,MATCH($D325,등급!$A$5:$A$12,0))&amp;"~"&amp;INDEX(등급!$L$5:$L$12,MATCH($D325,등급!$A$5:$A$12,0))&amp;"개")</f>
        <v>-</v>
      </c>
    </row>
    <row r="326" customFormat="false" ht="15" hidden="false" customHeight="false" outlineLevel="0" collapsed="false">
      <c r="A326" s="19" t="str">
        <f aca="false">장비_기본!B45</f>
        <v>힘의 반지</v>
      </c>
      <c r="B326" s="19" t="str">
        <f aca="false">장비_기본!C45</f>
        <v>반지</v>
      </c>
      <c r="C326" s="19" t="str">
        <f aca="false">장비_기본!D45</f>
        <v>공통</v>
      </c>
      <c r="D326" s="8" t="s">
        <v>44</v>
      </c>
      <c r="E326" s="19" t="str">
        <f aca="false">장비_기본!F45</f>
        <v>공격력%</v>
      </c>
      <c r="F326" s="21" t="n">
        <f aca="false">장비_기본!G45*INDEX(등급!$C$5:$C$12,MATCH($D326,등급!$A$5:$A$12,0))</f>
        <v>0.0319</v>
      </c>
      <c r="G326" s="13" t="s">
        <v>78</v>
      </c>
      <c r="H326" s="12"/>
      <c r="I326" s="13" t="s">
        <v>78</v>
      </c>
      <c r="J326" s="12"/>
      <c r="K326" s="19" t="n">
        <f aca="false">INDEX(등급!$D$5:$D$12,MATCH($D326,등급!$A$5:$A$12,0))</f>
        <v>0</v>
      </c>
      <c r="L326" s="19" t="str">
        <f aca="false">IF(INDEX(등급!$H$5:$H$12,MATCH($D326,등급!$A$5:$A$12,0))=0,"-",IF(INDEX(등급!$G$5:$G$12,MATCH($D326,등급!$A$5:$A$12,0))=INDEX(등급!$H$5:$H$12,MATCH($D326,등급!$A$5:$A$12,0)),INDEX(등급!$G$5:$G$12,MATCH($D326,등급!$A$5:$A$12,0))&amp;"칸",INDEX(등급!$G$5:$G$12,MATCH($D326,등급!$A$5:$A$12,0))&amp;"~"&amp;INDEX(등급!$H$5:$H$12,MATCH($D326,등급!$A$5:$A$12,0))&amp;"칸"))</f>
        <v>-</v>
      </c>
      <c r="M326" s="19" t="str">
        <f aca="false">IF(INDEX(등급!$J$5:$J$12,MATCH($D326,등급!$A$5:$A$12,0))=0,"-",IF(INDEX(등급!$I$5:$I$12,MATCH($D326,등급!$A$5:$A$12,0))=INDEX(등급!$J$5:$J$12,MATCH($D326,등급!$A$5:$A$12,0)),INDEX(등급!$I$5:$I$12,MATCH($D326,등급!$A$5:$A$12,0))&amp;"개",INDEX(등급!$I$5:$I$12,MATCH($D326,등급!$A$5:$A$12,0))&amp;"~"&amp;INDEX(등급!$J$5:$J$12,MATCH($D326,등급!$A$5:$A$12,0))&amp;"개"))</f>
        <v>-</v>
      </c>
      <c r="N326" s="19" t="str">
        <f aca="false">IF(INDEX(등급!$L$5:$L$12,MATCH($D326,등급!$A$5:$A$12,0))=0,"-",INDEX(등급!$K$5:$K$12,MATCH($D326,등급!$A$5:$A$12,0))&amp;"~"&amp;INDEX(등급!$L$5:$L$12,MATCH($D326,등급!$A$5:$A$12,0))&amp;"개")</f>
        <v>-</v>
      </c>
    </row>
    <row r="327" customFormat="false" ht="15" hidden="false" customHeight="false" outlineLevel="0" collapsed="false">
      <c r="A327" s="19" t="str">
        <f aca="false">장비_기본!B45</f>
        <v>힘의 반지</v>
      </c>
      <c r="B327" s="19" t="str">
        <f aca="false">장비_기본!C45</f>
        <v>반지</v>
      </c>
      <c r="C327" s="19" t="str">
        <f aca="false">장비_기본!D45</f>
        <v>공통</v>
      </c>
      <c r="D327" s="8" t="s">
        <v>45</v>
      </c>
      <c r="E327" s="19" t="str">
        <f aca="false">장비_기본!F45</f>
        <v>공격력%</v>
      </c>
      <c r="F327" s="21" t="n">
        <f aca="false">장비_기본!G45*INDEX(등급!$C$5:$C$12,MATCH($D327,등급!$A$5:$A$12,0))</f>
        <v>0.0374</v>
      </c>
      <c r="G327" s="13" t="s">
        <v>78</v>
      </c>
      <c r="H327" s="12"/>
      <c r="I327" s="13" t="s">
        <v>78</v>
      </c>
      <c r="J327" s="12"/>
      <c r="K327" s="19" t="n">
        <f aca="false">INDEX(등급!$D$5:$D$12,MATCH($D327,등급!$A$5:$A$12,0))</f>
        <v>1</v>
      </c>
      <c r="L327" s="19" t="str">
        <f aca="false">IF(INDEX(등급!$H$5:$H$12,MATCH($D327,등급!$A$5:$A$12,0))=0,"-",IF(INDEX(등급!$G$5:$G$12,MATCH($D327,등급!$A$5:$A$12,0))=INDEX(등급!$H$5:$H$12,MATCH($D327,등급!$A$5:$A$12,0)),INDEX(등급!$G$5:$G$12,MATCH($D327,등급!$A$5:$A$12,0))&amp;"칸",INDEX(등급!$G$5:$G$12,MATCH($D327,등급!$A$5:$A$12,0))&amp;"~"&amp;INDEX(등급!$H$5:$H$12,MATCH($D327,등급!$A$5:$A$12,0))&amp;"칸"))</f>
        <v>-</v>
      </c>
      <c r="M327" s="19" t="str">
        <f aca="false">IF(INDEX(등급!$J$5:$J$12,MATCH($D327,등급!$A$5:$A$12,0))=0,"-",IF(INDEX(등급!$I$5:$I$12,MATCH($D327,등급!$A$5:$A$12,0))=INDEX(등급!$J$5:$J$12,MATCH($D327,등급!$A$5:$A$12,0)),INDEX(등급!$I$5:$I$12,MATCH($D327,등급!$A$5:$A$12,0))&amp;"개",INDEX(등급!$I$5:$I$12,MATCH($D327,등급!$A$5:$A$12,0))&amp;"~"&amp;INDEX(등급!$J$5:$J$12,MATCH($D327,등급!$A$5:$A$12,0))&amp;"개"))</f>
        <v>-</v>
      </c>
      <c r="N327" s="19" t="str">
        <f aca="false">IF(INDEX(등급!$L$5:$L$12,MATCH($D327,등급!$A$5:$A$12,0))=0,"-",INDEX(등급!$K$5:$K$12,MATCH($D327,등급!$A$5:$A$12,0))&amp;"~"&amp;INDEX(등급!$L$5:$L$12,MATCH($D327,등급!$A$5:$A$12,0))&amp;"개")</f>
        <v>-</v>
      </c>
    </row>
    <row r="328" customFormat="false" ht="15" hidden="false" customHeight="false" outlineLevel="0" collapsed="false">
      <c r="A328" s="19" t="str">
        <f aca="false">장비_기본!B45</f>
        <v>힘의 반지</v>
      </c>
      <c r="B328" s="19" t="str">
        <f aca="false">장비_기본!C45</f>
        <v>반지</v>
      </c>
      <c r="C328" s="19" t="str">
        <f aca="false">장비_기본!D45</f>
        <v>공통</v>
      </c>
      <c r="D328" s="8" t="s">
        <v>46</v>
      </c>
      <c r="E328" s="19" t="str">
        <f aca="false">장비_기본!F45</f>
        <v>공격력%</v>
      </c>
      <c r="F328" s="21" t="n">
        <f aca="false">장비_기본!G45*INDEX(등급!$C$5:$C$12,MATCH($D328,등급!$A$5:$A$12,0))</f>
        <v>0.0462</v>
      </c>
      <c r="G328" s="13" t="s">
        <v>78</v>
      </c>
      <c r="H328" s="12"/>
      <c r="I328" s="13" t="s">
        <v>78</v>
      </c>
      <c r="J328" s="12"/>
      <c r="K328" s="19" t="n">
        <f aca="false">INDEX(등급!$D$5:$D$12,MATCH($D328,등급!$A$5:$A$12,0))</f>
        <v>2</v>
      </c>
      <c r="L328" s="19" t="str">
        <f aca="false">IF(INDEX(등급!$H$5:$H$12,MATCH($D328,등급!$A$5:$A$12,0))=0,"-",IF(INDEX(등급!$G$5:$G$12,MATCH($D328,등급!$A$5:$A$12,0))=INDEX(등급!$H$5:$H$12,MATCH($D328,등급!$A$5:$A$12,0)),INDEX(등급!$G$5:$G$12,MATCH($D328,등급!$A$5:$A$12,0))&amp;"칸",INDEX(등급!$G$5:$G$12,MATCH($D328,등급!$A$5:$A$12,0))&amp;"~"&amp;INDEX(등급!$H$5:$H$12,MATCH($D328,등급!$A$5:$A$12,0))&amp;"칸"))</f>
        <v>-</v>
      </c>
      <c r="M328" s="19" t="str">
        <f aca="false">IF(INDEX(등급!$J$5:$J$12,MATCH($D328,등급!$A$5:$A$12,0))=0,"-",IF(INDEX(등급!$I$5:$I$12,MATCH($D328,등급!$A$5:$A$12,0))=INDEX(등급!$J$5:$J$12,MATCH($D328,등급!$A$5:$A$12,0)),INDEX(등급!$I$5:$I$12,MATCH($D328,등급!$A$5:$A$12,0))&amp;"개",INDEX(등급!$I$5:$I$12,MATCH($D328,등급!$A$5:$A$12,0))&amp;"~"&amp;INDEX(등급!$J$5:$J$12,MATCH($D328,등급!$A$5:$A$12,0))&amp;"개"))</f>
        <v>-</v>
      </c>
      <c r="N328" s="19" t="str">
        <f aca="false">IF(INDEX(등급!$L$5:$L$12,MATCH($D328,등급!$A$5:$A$12,0))=0,"-",INDEX(등급!$K$5:$K$12,MATCH($D328,등급!$A$5:$A$12,0))&amp;"~"&amp;INDEX(등급!$L$5:$L$12,MATCH($D328,등급!$A$5:$A$12,0))&amp;"개")</f>
        <v>-</v>
      </c>
    </row>
    <row r="329" customFormat="false" ht="15" hidden="false" customHeight="false" outlineLevel="0" collapsed="false">
      <c r="A329" s="19" t="str">
        <f aca="false">장비_기본!B45</f>
        <v>힘의 반지</v>
      </c>
      <c r="B329" s="19" t="str">
        <f aca="false">장비_기본!C45</f>
        <v>반지</v>
      </c>
      <c r="C329" s="19" t="str">
        <f aca="false">장비_기본!D45</f>
        <v>공통</v>
      </c>
      <c r="D329" s="8" t="s">
        <v>47</v>
      </c>
      <c r="E329" s="19" t="str">
        <f aca="false">장비_기본!F45</f>
        <v>공격력%</v>
      </c>
      <c r="F329" s="21" t="n">
        <f aca="false">장비_기본!G45*INDEX(등급!$C$5:$C$12,MATCH($D329,등급!$A$5:$A$12,0))</f>
        <v>0.0561</v>
      </c>
      <c r="G329" s="13" t="s">
        <v>78</v>
      </c>
      <c r="H329" s="12"/>
      <c r="I329" s="13" t="s">
        <v>78</v>
      </c>
      <c r="J329" s="12"/>
      <c r="K329" s="19" t="n">
        <f aca="false">INDEX(등급!$D$5:$D$12,MATCH($D329,등급!$A$5:$A$12,0))</f>
        <v>3</v>
      </c>
      <c r="L329" s="19" t="str">
        <f aca="false">IF(INDEX(등급!$H$5:$H$12,MATCH($D329,등급!$A$5:$A$12,0))=0,"-",IF(INDEX(등급!$G$5:$G$12,MATCH($D329,등급!$A$5:$A$12,0))=INDEX(등급!$H$5:$H$12,MATCH($D329,등급!$A$5:$A$12,0)),INDEX(등급!$G$5:$G$12,MATCH($D329,등급!$A$5:$A$12,0))&amp;"칸",INDEX(등급!$G$5:$G$12,MATCH($D329,등급!$A$5:$A$12,0))&amp;"~"&amp;INDEX(등급!$H$5:$H$12,MATCH($D329,등급!$A$5:$A$12,0))&amp;"칸"))</f>
        <v>-</v>
      </c>
      <c r="M329" s="19" t="str">
        <f aca="false">IF(INDEX(등급!$J$5:$J$12,MATCH($D329,등급!$A$5:$A$12,0))=0,"-",IF(INDEX(등급!$I$5:$I$12,MATCH($D329,등급!$A$5:$A$12,0))=INDEX(등급!$J$5:$J$12,MATCH($D329,등급!$A$5:$A$12,0)),INDEX(등급!$I$5:$I$12,MATCH($D329,등급!$A$5:$A$12,0))&amp;"개",INDEX(등급!$I$5:$I$12,MATCH($D329,등급!$A$5:$A$12,0))&amp;"~"&amp;INDEX(등급!$J$5:$J$12,MATCH($D329,등급!$A$5:$A$12,0))&amp;"개"))</f>
        <v>-</v>
      </c>
      <c r="N329" s="19" t="str">
        <f aca="false">IF(INDEX(등급!$L$5:$L$12,MATCH($D329,등급!$A$5:$A$12,0))=0,"-",INDEX(등급!$K$5:$K$12,MATCH($D329,등급!$A$5:$A$12,0))&amp;"~"&amp;INDEX(등급!$L$5:$L$12,MATCH($D329,등급!$A$5:$A$12,0))&amp;"개")</f>
        <v>-</v>
      </c>
    </row>
    <row r="330" customFormat="false" ht="15" hidden="false" customHeight="false" outlineLevel="0" collapsed="false">
      <c r="A330" s="19" t="str">
        <f aca="false">장비_기본!B45</f>
        <v>힘의 반지</v>
      </c>
      <c r="B330" s="19" t="str">
        <f aca="false">장비_기본!C45</f>
        <v>반지</v>
      </c>
      <c r="C330" s="19" t="str">
        <f aca="false">장비_기본!D45</f>
        <v>공통</v>
      </c>
      <c r="D330" s="8" t="s">
        <v>48</v>
      </c>
      <c r="E330" s="19" t="str">
        <f aca="false">장비_기본!F45</f>
        <v>공격력%</v>
      </c>
      <c r="F330" s="21" t="n">
        <f aca="false">장비_기본!G45*INDEX(등급!$C$5:$C$12,MATCH($D330,등급!$A$5:$A$12,0))</f>
        <v>0.0671</v>
      </c>
      <c r="G330" s="13" t="s">
        <v>78</v>
      </c>
      <c r="H330" s="12"/>
      <c r="I330" s="13" t="s">
        <v>78</v>
      </c>
      <c r="J330" s="12"/>
      <c r="K330" s="19" t="n">
        <f aca="false">INDEX(등급!$D$5:$D$12,MATCH($D330,등급!$A$5:$A$12,0))</f>
        <v>4</v>
      </c>
      <c r="L330" s="19" t="str">
        <f aca="false">IF(INDEX(등급!$H$5:$H$12,MATCH($D330,등급!$A$5:$A$12,0))=0,"-",IF(INDEX(등급!$G$5:$G$12,MATCH($D330,등급!$A$5:$A$12,0))=INDEX(등급!$H$5:$H$12,MATCH($D330,등급!$A$5:$A$12,0)),INDEX(등급!$G$5:$G$12,MATCH($D330,등급!$A$5:$A$12,0))&amp;"칸",INDEX(등급!$G$5:$G$12,MATCH($D330,등급!$A$5:$A$12,0))&amp;"~"&amp;INDEX(등급!$H$5:$H$12,MATCH($D330,등급!$A$5:$A$12,0))&amp;"칸"))</f>
        <v>-</v>
      </c>
      <c r="M330" s="19" t="str">
        <f aca="false">IF(INDEX(등급!$J$5:$J$12,MATCH($D330,등급!$A$5:$A$12,0))=0,"-",IF(INDEX(등급!$I$5:$I$12,MATCH($D330,등급!$A$5:$A$12,0))=INDEX(등급!$J$5:$J$12,MATCH($D330,등급!$A$5:$A$12,0)),INDEX(등급!$I$5:$I$12,MATCH($D330,등급!$A$5:$A$12,0))&amp;"개",INDEX(등급!$I$5:$I$12,MATCH($D330,등급!$A$5:$A$12,0))&amp;"~"&amp;INDEX(등급!$J$5:$J$12,MATCH($D330,등급!$A$5:$A$12,0))&amp;"개"))</f>
        <v>-</v>
      </c>
      <c r="N330" s="19" t="str">
        <f aca="false">IF(INDEX(등급!$L$5:$L$12,MATCH($D330,등급!$A$5:$A$12,0))=0,"-",INDEX(등급!$K$5:$K$12,MATCH($D330,등급!$A$5:$A$12,0))&amp;"~"&amp;INDEX(등급!$L$5:$L$12,MATCH($D330,등급!$A$5:$A$12,0))&amp;"개")</f>
        <v>-</v>
      </c>
    </row>
    <row r="331" customFormat="false" ht="15" hidden="false" customHeight="false" outlineLevel="0" collapsed="false">
      <c r="A331" s="19" t="str">
        <f aca="false">장비_기본!B45</f>
        <v>힘의 반지</v>
      </c>
      <c r="B331" s="19" t="str">
        <f aca="false">장비_기본!C45</f>
        <v>반지</v>
      </c>
      <c r="C331" s="19" t="str">
        <f aca="false">장비_기본!D45</f>
        <v>공통</v>
      </c>
      <c r="D331" s="8" t="s">
        <v>49</v>
      </c>
      <c r="E331" s="19" t="str">
        <f aca="false">장비_기본!F45</f>
        <v>공격력%</v>
      </c>
      <c r="F331" s="21" t="n">
        <f aca="false">장비_기본!G45*INDEX(등급!$C$5:$C$12,MATCH($D331,등급!$A$5:$A$12,0))</f>
        <v>0.0704</v>
      </c>
      <c r="G331" s="13" t="s">
        <v>78</v>
      </c>
      <c r="H331" s="12"/>
      <c r="I331" s="13" t="s">
        <v>78</v>
      </c>
      <c r="J331" s="12"/>
      <c r="K331" s="19" t="n">
        <f aca="false">INDEX(등급!$D$5:$D$12,MATCH($D331,등급!$A$5:$A$12,0))</f>
        <v>4</v>
      </c>
      <c r="L331" s="19" t="str">
        <f aca="false">IF(INDEX(등급!$H$5:$H$12,MATCH($D331,등급!$A$5:$A$12,0))=0,"-",IF(INDEX(등급!$G$5:$G$12,MATCH($D331,등급!$A$5:$A$12,0))=INDEX(등급!$H$5:$H$12,MATCH($D331,등급!$A$5:$A$12,0)),INDEX(등급!$G$5:$G$12,MATCH($D331,등급!$A$5:$A$12,0))&amp;"칸",INDEX(등급!$G$5:$G$12,MATCH($D331,등급!$A$5:$A$12,0))&amp;"~"&amp;INDEX(등급!$H$5:$H$12,MATCH($D331,등급!$A$5:$A$12,0))&amp;"칸"))</f>
        <v>1칸</v>
      </c>
      <c r="M331" s="19" t="str">
        <f aca="false">IF(INDEX(등급!$J$5:$J$12,MATCH($D331,등급!$A$5:$A$12,0))=0,"-",IF(INDEX(등급!$I$5:$I$12,MATCH($D331,등급!$A$5:$A$12,0))=INDEX(등급!$J$5:$J$12,MATCH($D331,등급!$A$5:$A$12,0)),INDEX(등급!$I$5:$I$12,MATCH($D331,등급!$A$5:$A$12,0))&amp;"개",INDEX(등급!$I$5:$I$12,MATCH($D331,등급!$A$5:$A$12,0))&amp;"~"&amp;INDEX(등급!$J$5:$J$12,MATCH($D331,등급!$A$5:$A$12,0))&amp;"개"))</f>
        <v>0~1개</v>
      </c>
      <c r="N331" s="19" t="str">
        <f aca="false">IF(INDEX(등급!$L$5:$L$12,MATCH($D331,등급!$A$5:$A$12,0))=0,"-",INDEX(등급!$K$5:$K$12,MATCH($D331,등급!$A$5:$A$12,0))&amp;"~"&amp;INDEX(등급!$L$5:$L$12,MATCH($D331,등급!$A$5:$A$12,0))&amp;"개")</f>
        <v>0~1개</v>
      </c>
    </row>
    <row r="332" customFormat="false" ht="15" hidden="false" customHeight="false" outlineLevel="0" collapsed="false">
      <c r="A332" s="19" t="str">
        <f aca="false">장비_기본!B45</f>
        <v>힘의 반지</v>
      </c>
      <c r="B332" s="19" t="str">
        <f aca="false">장비_기본!C45</f>
        <v>반지</v>
      </c>
      <c r="C332" s="19" t="str">
        <f aca="false">장비_기본!D45</f>
        <v>공통</v>
      </c>
      <c r="D332" s="8" t="s">
        <v>51</v>
      </c>
      <c r="E332" s="19" t="str">
        <f aca="false">장비_기본!F45</f>
        <v>공격력%</v>
      </c>
      <c r="F332" s="21" t="n">
        <f aca="false">장비_기본!G45*INDEX(등급!$C$5:$C$12,MATCH($D332,등급!$A$5:$A$12,0))</f>
        <v>0.0726</v>
      </c>
      <c r="G332" s="13" t="s">
        <v>78</v>
      </c>
      <c r="H332" s="12"/>
      <c r="I332" s="13" t="s">
        <v>78</v>
      </c>
      <c r="J332" s="12"/>
      <c r="K332" s="19" t="n">
        <f aca="false">INDEX(등급!$D$5:$D$12,MATCH($D332,등급!$A$5:$A$12,0))</f>
        <v>4</v>
      </c>
      <c r="L332" s="19" t="str">
        <f aca="false">IF(INDEX(등급!$H$5:$H$12,MATCH($D332,등급!$A$5:$A$12,0))=0,"-",IF(INDEX(등급!$G$5:$G$12,MATCH($D332,등급!$A$5:$A$12,0))=INDEX(등급!$H$5:$H$12,MATCH($D332,등급!$A$5:$A$12,0)),INDEX(등급!$G$5:$G$12,MATCH($D332,등급!$A$5:$A$12,0))&amp;"칸",INDEX(등급!$G$5:$G$12,MATCH($D332,등급!$A$5:$A$12,0))&amp;"~"&amp;INDEX(등급!$H$5:$H$12,MATCH($D332,등급!$A$5:$A$12,0))&amp;"칸"))</f>
        <v>1~3칸</v>
      </c>
      <c r="M332" s="19" t="str">
        <f aca="false">IF(INDEX(등급!$J$5:$J$12,MATCH($D332,등급!$A$5:$A$12,0))=0,"-",IF(INDEX(등급!$I$5:$I$12,MATCH($D332,등급!$A$5:$A$12,0))=INDEX(등급!$J$5:$J$12,MATCH($D332,등급!$A$5:$A$12,0)),INDEX(등급!$I$5:$I$12,MATCH($D332,등급!$A$5:$A$12,0))&amp;"개",INDEX(등급!$I$5:$I$12,MATCH($D332,등급!$A$5:$A$12,0))&amp;"~"&amp;INDEX(등급!$J$5:$J$12,MATCH($D332,등급!$A$5:$A$12,0))&amp;"개"))</f>
        <v>1개</v>
      </c>
      <c r="N332" s="19" t="str">
        <f aca="false">IF(INDEX(등급!$L$5:$L$12,MATCH($D332,등급!$A$5:$A$12,0))=0,"-",INDEX(등급!$K$5:$K$12,MATCH($D332,등급!$A$5:$A$12,0))&amp;"~"&amp;INDEX(등급!$L$5:$L$12,MATCH($D332,등급!$A$5:$A$12,0))&amp;"개")</f>
        <v>0~2개</v>
      </c>
    </row>
    <row r="333" customFormat="false" ht="15" hidden="false" customHeight="false" outlineLevel="0" collapsed="false">
      <c r="A333" s="19" t="str">
        <f aca="false">장비_기본!B46</f>
        <v>예리한 반지</v>
      </c>
      <c r="B333" s="19" t="str">
        <f aca="false">장비_기본!C46</f>
        <v>반지</v>
      </c>
      <c r="C333" s="19" t="str">
        <f aca="false">장비_기본!D46</f>
        <v>공통</v>
      </c>
      <c r="D333" s="8" t="s">
        <v>43</v>
      </c>
      <c r="E333" s="19" t="str">
        <f aca="false">장비_기본!F46</f>
        <v>치명타 확률</v>
      </c>
      <c r="F333" s="21" t="n">
        <f aca="false">장비_기본!G46*INDEX(등급!$C$5:$C$12,MATCH($D333,등급!$A$5:$A$12,0))</f>
        <v>0.015</v>
      </c>
      <c r="G333" s="13" t="s">
        <v>78</v>
      </c>
      <c r="H333" s="12"/>
      <c r="I333" s="13" t="s">
        <v>78</v>
      </c>
      <c r="J333" s="12"/>
      <c r="K333" s="19" t="n">
        <f aca="false">INDEX(등급!$D$5:$D$12,MATCH($D333,등급!$A$5:$A$12,0))</f>
        <v>0</v>
      </c>
      <c r="L333" s="19" t="str">
        <f aca="false">IF(INDEX(등급!$H$5:$H$12,MATCH($D333,등급!$A$5:$A$12,0))=0,"-",IF(INDEX(등급!$G$5:$G$12,MATCH($D333,등급!$A$5:$A$12,0))=INDEX(등급!$H$5:$H$12,MATCH($D333,등급!$A$5:$A$12,0)),INDEX(등급!$G$5:$G$12,MATCH($D333,등급!$A$5:$A$12,0))&amp;"칸",INDEX(등급!$G$5:$G$12,MATCH($D333,등급!$A$5:$A$12,0))&amp;"~"&amp;INDEX(등급!$H$5:$H$12,MATCH($D333,등급!$A$5:$A$12,0))&amp;"칸"))</f>
        <v>-</v>
      </c>
      <c r="M333" s="19" t="str">
        <f aca="false">IF(INDEX(등급!$J$5:$J$12,MATCH($D333,등급!$A$5:$A$12,0))=0,"-",IF(INDEX(등급!$I$5:$I$12,MATCH($D333,등급!$A$5:$A$12,0))=INDEX(등급!$J$5:$J$12,MATCH($D333,등급!$A$5:$A$12,0)),INDEX(등급!$I$5:$I$12,MATCH($D333,등급!$A$5:$A$12,0))&amp;"개",INDEX(등급!$I$5:$I$12,MATCH($D333,등급!$A$5:$A$12,0))&amp;"~"&amp;INDEX(등급!$J$5:$J$12,MATCH($D333,등급!$A$5:$A$12,0))&amp;"개"))</f>
        <v>-</v>
      </c>
      <c r="N333" s="19" t="str">
        <f aca="false">IF(INDEX(등급!$L$5:$L$12,MATCH($D333,등급!$A$5:$A$12,0))=0,"-",INDEX(등급!$K$5:$K$12,MATCH($D333,등급!$A$5:$A$12,0))&amp;"~"&amp;INDEX(등급!$L$5:$L$12,MATCH($D333,등급!$A$5:$A$12,0))&amp;"개")</f>
        <v>-</v>
      </c>
    </row>
    <row r="334" customFormat="false" ht="15" hidden="false" customHeight="false" outlineLevel="0" collapsed="false">
      <c r="A334" s="19" t="str">
        <f aca="false">장비_기본!B46</f>
        <v>예리한 반지</v>
      </c>
      <c r="B334" s="19" t="str">
        <f aca="false">장비_기본!C46</f>
        <v>반지</v>
      </c>
      <c r="C334" s="19" t="str">
        <f aca="false">장비_기본!D46</f>
        <v>공통</v>
      </c>
      <c r="D334" s="8" t="s">
        <v>44</v>
      </c>
      <c r="E334" s="19" t="str">
        <f aca="false">장비_기본!F46</f>
        <v>치명타 확률</v>
      </c>
      <c r="F334" s="21" t="n">
        <f aca="false">장비_기본!G46*INDEX(등급!$C$5:$C$12,MATCH($D334,등급!$A$5:$A$12,0))</f>
        <v>0.02175</v>
      </c>
      <c r="G334" s="13" t="s">
        <v>78</v>
      </c>
      <c r="H334" s="12"/>
      <c r="I334" s="13" t="s">
        <v>78</v>
      </c>
      <c r="J334" s="12"/>
      <c r="K334" s="19" t="n">
        <f aca="false">INDEX(등급!$D$5:$D$12,MATCH($D334,등급!$A$5:$A$12,0))</f>
        <v>0</v>
      </c>
      <c r="L334" s="19" t="str">
        <f aca="false">IF(INDEX(등급!$H$5:$H$12,MATCH($D334,등급!$A$5:$A$12,0))=0,"-",IF(INDEX(등급!$G$5:$G$12,MATCH($D334,등급!$A$5:$A$12,0))=INDEX(등급!$H$5:$H$12,MATCH($D334,등급!$A$5:$A$12,0)),INDEX(등급!$G$5:$G$12,MATCH($D334,등급!$A$5:$A$12,0))&amp;"칸",INDEX(등급!$G$5:$G$12,MATCH($D334,등급!$A$5:$A$12,0))&amp;"~"&amp;INDEX(등급!$H$5:$H$12,MATCH($D334,등급!$A$5:$A$12,0))&amp;"칸"))</f>
        <v>-</v>
      </c>
      <c r="M334" s="19" t="str">
        <f aca="false">IF(INDEX(등급!$J$5:$J$12,MATCH($D334,등급!$A$5:$A$12,0))=0,"-",IF(INDEX(등급!$I$5:$I$12,MATCH($D334,등급!$A$5:$A$12,0))=INDEX(등급!$J$5:$J$12,MATCH($D334,등급!$A$5:$A$12,0)),INDEX(등급!$I$5:$I$12,MATCH($D334,등급!$A$5:$A$12,0))&amp;"개",INDEX(등급!$I$5:$I$12,MATCH($D334,등급!$A$5:$A$12,0))&amp;"~"&amp;INDEX(등급!$J$5:$J$12,MATCH($D334,등급!$A$5:$A$12,0))&amp;"개"))</f>
        <v>-</v>
      </c>
      <c r="N334" s="19" t="str">
        <f aca="false">IF(INDEX(등급!$L$5:$L$12,MATCH($D334,등급!$A$5:$A$12,0))=0,"-",INDEX(등급!$K$5:$K$12,MATCH($D334,등급!$A$5:$A$12,0))&amp;"~"&amp;INDEX(등급!$L$5:$L$12,MATCH($D334,등급!$A$5:$A$12,0))&amp;"개")</f>
        <v>-</v>
      </c>
    </row>
    <row r="335" customFormat="false" ht="15" hidden="false" customHeight="false" outlineLevel="0" collapsed="false">
      <c r="A335" s="19" t="str">
        <f aca="false">장비_기본!B46</f>
        <v>예리한 반지</v>
      </c>
      <c r="B335" s="19" t="str">
        <f aca="false">장비_기본!C46</f>
        <v>반지</v>
      </c>
      <c r="C335" s="19" t="str">
        <f aca="false">장비_기본!D46</f>
        <v>공통</v>
      </c>
      <c r="D335" s="8" t="s">
        <v>45</v>
      </c>
      <c r="E335" s="19" t="str">
        <f aca="false">장비_기본!F46</f>
        <v>치명타 확률</v>
      </c>
      <c r="F335" s="21" t="n">
        <f aca="false">장비_기본!G46*INDEX(등급!$C$5:$C$12,MATCH($D335,등급!$A$5:$A$12,0))</f>
        <v>0.0255</v>
      </c>
      <c r="G335" s="13" t="s">
        <v>78</v>
      </c>
      <c r="H335" s="12"/>
      <c r="I335" s="13" t="s">
        <v>78</v>
      </c>
      <c r="J335" s="12"/>
      <c r="K335" s="19" t="n">
        <f aca="false">INDEX(등급!$D$5:$D$12,MATCH($D335,등급!$A$5:$A$12,0))</f>
        <v>1</v>
      </c>
      <c r="L335" s="19" t="str">
        <f aca="false">IF(INDEX(등급!$H$5:$H$12,MATCH($D335,등급!$A$5:$A$12,0))=0,"-",IF(INDEX(등급!$G$5:$G$12,MATCH($D335,등급!$A$5:$A$12,0))=INDEX(등급!$H$5:$H$12,MATCH($D335,등급!$A$5:$A$12,0)),INDEX(등급!$G$5:$G$12,MATCH($D335,등급!$A$5:$A$12,0))&amp;"칸",INDEX(등급!$G$5:$G$12,MATCH($D335,등급!$A$5:$A$12,0))&amp;"~"&amp;INDEX(등급!$H$5:$H$12,MATCH($D335,등급!$A$5:$A$12,0))&amp;"칸"))</f>
        <v>-</v>
      </c>
      <c r="M335" s="19" t="str">
        <f aca="false">IF(INDEX(등급!$J$5:$J$12,MATCH($D335,등급!$A$5:$A$12,0))=0,"-",IF(INDEX(등급!$I$5:$I$12,MATCH($D335,등급!$A$5:$A$12,0))=INDEX(등급!$J$5:$J$12,MATCH($D335,등급!$A$5:$A$12,0)),INDEX(등급!$I$5:$I$12,MATCH($D335,등급!$A$5:$A$12,0))&amp;"개",INDEX(등급!$I$5:$I$12,MATCH($D335,등급!$A$5:$A$12,0))&amp;"~"&amp;INDEX(등급!$J$5:$J$12,MATCH($D335,등급!$A$5:$A$12,0))&amp;"개"))</f>
        <v>-</v>
      </c>
      <c r="N335" s="19" t="str">
        <f aca="false">IF(INDEX(등급!$L$5:$L$12,MATCH($D335,등급!$A$5:$A$12,0))=0,"-",INDEX(등급!$K$5:$K$12,MATCH($D335,등급!$A$5:$A$12,0))&amp;"~"&amp;INDEX(등급!$L$5:$L$12,MATCH($D335,등급!$A$5:$A$12,0))&amp;"개")</f>
        <v>-</v>
      </c>
    </row>
    <row r="336" customFormat="false" ht="15" hidden="false" customHeight="false" outlineLevel="0" collapsed="false">
      <c r="A336" s="19" t="str">
        <f aca="false">장비_기본!B46</f>
        <v>예리한 반지</v>
      </c>
      <c r="B336" s="19" t="str">
        <f aca="false">장비_기본!C46</f>
        <v>반지</v>
      </c>
      <c r="C336" s="19" t="str">
        <f aca="false">장비_기본!D46</f>
        <v>공통</v>
      </c>
      <c r="D336" s="8" t="s">
        <v>46</v>
      </c>
      <c r="E336" s="19" t="str">
        <f aca="false">장비_기본!F46</f>
        <v>치명타 확률</v>
      </c>
      <c r="F336" s="21" t="n">
        <f aca="false">장비_기본!G46*INDEX(등급!$C$5:$C$12,MATCH($D336,등급!$A$5:$A$12,0))</f>
        <v>0.0315</v>
      </c>
      <c r="G336" s="13" t="s">
        <v>78</v>
      </c>
      <c r="H336" s="12"/>
      <c r="I336" s="13" t="s">
        <v>78</v>
      </c>
      <c r="J336" s="12"/>
      <c r="K336" s="19" t="n">
        <f aca="false">INDEX(등급!$D$5:$D$12,MATCH($D336,등급!$A$5:$A$12,0))</f>
        <v>2</v>
      </c>
      <c r="L336" s="19" t="str">
        <f aca="false">IF(INDEX(등급!$H$5:$H$12,MATCH($D336,등급!$A$5:$A$12,0))=0,"-",IF(INDEX(등급!$G$5:$G$12,MATCH($D336,등급!$A$5:$A$12,0))=INDEX(등급!$H$5:$H$12,MATCH($D336,등급!$A$5:$A$12,0)),INDEX(등급!$G$5:$G$12,MATCH($D336,등급!$A$5:$A$12,0))&amp;"칸",INDEX(등급!$G$5:$G$12,MATCH($D336,등급!$A$5:$A$12,0))&amp;"~"&amp;INDEX(등급!$H$5:$H$12,MATCH($D336,등급!$A$5:$A$12,0))&amp;"칸"))</f>
        <v>-</v>
      </c>
      <c r="M336" s="19" t="str">
        <f aca="false">IF(INDEX(등급!$J$5:$J$12,MATCH($D336,등급!$A$5:$A$12,0))=0,"-",IF(INDEX(등급!$I$5:$I$12,MATCH($D336,등급!$A$5:$A$12,0))=INDEX(등급!$J$5:$J$12,MATCH($D336,등급!$A$5:$A$12,0)),INDEX(등급!$I$5:$I$12,MATCH($D336,등급!$A$5:$A$12,0))&amp;"개",INDEX(등급!$I$5:$I$12,MATCH($D336,등급!$A$5:$A$12,0))&amp;"~"&amp;INDEX(등급!$J$5:$J$12,MATCH($D336,등급!$A$5:$A$12,0))&amp;"개"))</f>
        <v>-</v>
      </c>
      <c r="N336" s="19" t="str">
        <f aca="false">IF(INDEX(등급!$L$5:$L$12,MATCH($D336,등급!$A$5:$A$12,0))=0,"-",INDEX(등급!$K$5:$K$12,MATCH($D336,등급!$A$5:$A$12,0))&amp;"~"&amp;INDEX(등급!$L$5:$L$12,MATCH($D336,등급!$A$5:$A$12,0))&amp;"개")</f>
        <v>-</v>
      </c>
    </row>
    <row r="337" customFormat="false" ht="15" hidden="false" customHeight="false" outlineLevel="0" collapsed="false">
      <c r="A337" s="19" t="str">
        <f aca="false">장비_기본!B46</f>
        <v>예리한 반지</v>
      </c>
      <c r="B337" s="19" t="str">
        <f aca="false">장비_기본!C46</f>
        <v>반지</v>
      </c>
      <c r="C337" s="19" t="str">
        <f aca="false">장비_기본!D46</f>
        <v>공통</v>
      </c>
      <c r="D337" s="8" t="s">
        <v>47</v>
      </c>
      <c r="E337" s="19" t="str">
        <f aca="false">장비_기본!F46</f>
        <v>치명타 확률</v>
      </c>
      <c r="F337" s="21" t="n">
        <f aca="false">장비_기본!G46*INDEX(등급!$C$5:$C$12,MATCH($D337,등급!$A$5:$A$12,0))</f>
        <v>0.03825</v>
      </c>
      <c r="G337" s="13" t="s">
        <v>78</v>
      </c>
      <c r="H337" s="12"/>
      <c r="I337" s="13" t="s">
        <v>78</v>
      </c>
      <c r="J337" s="12"/>
      <c r="K337" s="19" t="n">
        <f aca="false">INDEX(등급!$D$5:$D$12,MATCH($D337,등급!$A$5:$A$12,0))</f>
        <v>3</v>
      </c>
      <c r="L337" s="19" t="str">
        <f aca="false">IF(INDEX(등급!$H$5:$H$12,MATCH($D337,등급!$A$5:$A$12,0))=0,"-",IF(INDEX(등급!$G$5:$G$12,MATCH($D337,등급!$A$5:$A$12,0))=INDEX(등급!$H$5:$H$12,MATCH($D337,등급!$A$5:$A$12,0)),INDEX(등급!$G$5:$G$12,MATCH($D337,등급!$A$5:$A$12,0))&amp;"칸",INDEX(등급!$G$5:$G$12,MATCH($D337,등급!$A$5:$A$12,0))&amp;"~"&amp;INDEX(등급!$H$5:$H$12,MATCH($D337,등급!$A$5:$A$12,0))&amp;"칸"))</f>
        <v>-</v>
      </c>
      <c r="M337" s="19" t="str">
        <f aca="false">IF(INDEX(등급!$J$5:$J$12,MATCH($D337,등급!$A$5:$A$12,0))=0,"-",IF(INDEX(등급!$I$5:$I$12,MATCH($D337,등급!$A$5:$A$12,0))=INDEX(등급!$J$5:$J$12,MATCH($D337,등급!$A$5:$A$12,0)),INDEX(등급!$I$5:$I$12,MATCH($D337,등급!$A$5:$A$12,0))&amp;"개",INDEX(등급!$I$5:$I$12,MATCH($D337,등급!$A$5:$A$12,0))&amp;"~"&amp;INDEX(등급!$J$5:$J$12,MATCH($D337,등급!$A$5:$A$12,0))&amp;"개"))</f>
        <v>-</v>
      </c>
      <c r="N337" s="19" t="str">
        <f aca="false">IF(INDEX(등급!$L$5:$L$12,MATCH($D337,등급!$A$5:$A$12,0))=0,"-",INDEX(등급!$K$5:$K$12,MATCH($D337,등급!$A$5:$A$12,0))&amp;"~"&amp;INDEX(등급!$L$5:$L$12,MATCH($D337,등급!$A$5:$A$12,0))&amp;"개")</f>
        <v>-</v>
      </c>
    </row>
    <row r="338" customFormat="false" ht="15" hidden="false" customHeight="false" outlineLevel="0" collapsed="false">
      <c r="A338" s="19" t="str">
        <f aca="false">장비_기본!B46</f>
        <v>예리한 반지</v>
      </c>
      <c r="B338" s="19" t="str">
        <f aca="false">장비_기본!C46</f>
        <v>반지</v>
      </c>
      <c r="C338" s="19" t="str">
        <f aca="false">장비_기본!D46</f>
        <v>공통</v>
      </c>
      <c r="D338" s="8" t="s">
        <v>48</v>
      </c>
      <c r="E338" s="19" t="str">
        <f aca="false">장비_기본!F46</f>
        <v>치명타 확률</v>
      </c>
      <c r="F338" s="21" t="n">
        <f aca="false">장비_기본!G46*INDEX(등급!$C$5:$C$12,MATCH($D338,등급!$A$5:$A$12,0))</f>
        <v>0.04575</v>
      </c>
      <c r="G338" s="13" t="s">
        <v>78</v>
      </c>
      <c r="H338" s="12"/>
      <c r="I338" s="13" t="s">
        <v>78</v>
      </c>
      <c r="J338" s="12"/>
      <c r="K338" s="19" t="n">
        <f aca="false">INDEX(등급!$D$5:$D$12,MATCH($D338,등급!$A$5:$A$12,0))</f>
        <v>4</v>
      </c>
      <c r="L338" s="19" t="str">
        <f aca="false">IF(INDEX(등급!$H$5:$H$12,MATCH($D338,등급!$A$5:$A$12,0))=0,"-",IF(INDEX(등급!$G$5:$G$12,MATCH($D338,등급!$A$5:$A$12,0))=INDEX(등급!$H$5:$H$12,MATCH($D338,등급!$A$5:$A$12,0)),INDEX(등급!$G$5:$G$12,MATCH($D338,등급!$A$5:$A$12,0))&amp;"칸",INDEX(등급!$G$5:$G$12,MATCH($D338,등급!$A$5:$A$12,0))&amp;"~"&amp;INDEX(등급!$H$5:$H$12,MATCH($D338,등급!$A$5:$A$12,0))&amp;"칸"))</f>
        <v>-</v>
      </c>
      <c r="M338" s="19" t="str">
        <f aca="false">IF(INDEX(등급!$J$5:$J$12,MATCH($D338,등급!$A$5:$A$12,0))=0,"-",IF(INDEX(등급!$I$5:$I$12,MATCH($D338,등급!$A$5:$A$12,0))=INDEX(등급!$J$5:$J$12,MATCH($D338,등급!$A$5:$A$12,0)),INDEX(등급!$I$5:$I$12,MATCH($D338,등급!$A$5:$A$12,0))&amp;"개",INDEX(등급!$I$5:$I$12,MATCH($D338,등급!$A$5:$A$12,0))&amp;"~"&amp;INDEX(등급!$J$5:$J$12,MATCH($D338,등급!$A$5:$A$12,0))&amp;"개"))</f>
        <v>-</v>
      </c>
      <c r="N338" s="19" t="str">
        <f aca="false">IF(INDEX(등급!$L$5:$L$12,MATCH($D338,등급!$A$5:$A$12,0))=0,"-",INDEX(등급!$K$5:$K$12,MATCH($D338,등급!$A$5:$A$12,0))&amp;"~"&amp;INDEX(등급!$L$5:$L$12,MATCH($D338,등급!$A$5:$A$12,0))&amp;"개")</f>
        <v>-</v>
      </c>
    </row>
    <row r="339" customFormat="false" ht="15" hidden="false" customHeight="false" outlineLevel="0" collapsed="false">
      <c r="A339" s="19" t="str">
        <f aca="false">장비_기본!B46</f>
        <v>예리한 반지</v>
      </c>
      <c r="B339" s="19" t="str">
        <f aca="false">장비_기본!C46</f>
        <v>반지</v>
      </c>
      <c r="C339" s="19" t="str">
        <f aca="false">장비_기본!D46</f>
        <v>공통</v>
      </c>
      <c r="D339" s="8" t="s">
        <v>49</v>
      </c>
      <c r="E339" s="19" t="str">
        <f aca="false">장비_기본!F46</f>
        <v>치명타 확률</v>
      </c>
      <c r="F339" s="21" t="n">
        <f aca="false">장비_기본!G46*INDEX(등급!$C$5:$C$12,MATCH($D339,등급!$A$5:$A$12,0))</f>
        <v>0.048</v>
      </c>
      <c r="G339" s="13" t="s">
        <v>78</v>
      </c>
      <c r="H339" s="12"/>
      <c r="I339" s="13" t="s">
        <v>78</v>
      </c>
      <c r="J339" s="12"/>
      <c r="K339" s="19" t="n">
        <f aca="false">INDEX(등급!$D$5:$D$12,MATCH($D339,등급!$A$5:$A$12,0))</f>
        <v>4</v>
      </c>
      <c r="L339" s="19" t="str">
        <f aca="false">IF(INDEX(등급!$H$5:$H$12,MATCH($D339,등급!$A$5:$A$12,0))=0,"-",IF(INDEX(등급!$G$5:$G$12,MATCH($D339,등급!$A$5:$A$12,0))=INDEX(등급!$H$5:$H$12,MATCH($D339,등급!$A$5:$A$12,0)),INDEX(등급!$G$5:$G$12,MATCH($D339,등급!$A$5:$A$12,0))&amp;"칸",INDEX(등급!$G$5:$G$12,MATCH($D339,등급!$A$5:$A$12,0))&amp;"~"&amp;INDEX(등급!$H$5:$H$12,MATCH($D339,등급!$A$5:$A$12,0))&amp;"칸"))</f>
        <v>1칸</v>
      </c>
      <c r="M339" s="19" t="str">
        <f aca="false">IF(INDEX(등급!$J$5:$J$12,MATCH($D339,등급!$A$5:$A$12,0))=0,"-",IF(INDEX(등급!$I$5:$I$12,MATCH($D339,등급!$A$5:$A$12,0))=INDEX(등급!$J$5:$J$12,MATCH($D339,등급!$A$5:$A$12,0)),INDEX(등급!$I$5:$I$12,MATCH($D339,등급!$A$5:$A$12,0))&amp;"개",INDEX(등급!$I$5:$I$12,MATCH($D339,등급!$A$5:$A$12,0))&amp;"~"&amp;INDEX(등급!$J$5:$J$12,MATCH($D339,등급!$A$5:$A$12,0))&amp;"개"))</f>
        <v>0~1개</v>
      </c>
      <c r="N339" s="19" t="str">
        <f aca="false">IF(INDEX(등급!$L$5:$L$12,MATCH($D339,등급!$A$5:$A$12,0))=0,"-",INDEX(등급!$K$5:$K$12,MATCH($D339,등급!$A$5:$A$12,0))&amp;"~"&amp;INDEX(등급!$L$5:$L$12,MATCH($D339,등급!$A$5:$A$12,0))&amp;"개")</f>
        <v>0~1개</v>
      </c>
    </row>
    <row r="340" customFormat="false" ht="15" hidden="false" customHeight="false" outlineLevel="0" collapsed="false">
      <c r="A340" s="19" t="str">
        <f aca="false">장비_기본!B46</f>
        <v>예리한 반지</v>
      </c>
      <c r="B340" s="19" t="str">
        <f aca="false">장비_기본!C46</f>
        <v>반지</v>
      </c>
      <c r="C340" s="19" t="str">
        <f aca="false">장비_기본!D46</f>
        <v>공통</v>
      </c>
      <c r="D340" s="8" t="s">
        <v>51</v>
      </c>
      <c r="E340" s="19" t="str">
        <f aca="false">장비_기본!F46</f>
        <v>치명타 확률</v>
      </c>
      <c r="F340" s="21" t="n">
        <f aca="false">장비_기본!G46*INDEX(등급!$C$5:$C$12,MATCH($D340,등급!$A$5:$A$12,0))</f>
        <v>0.0495</v>
      </c>
      <c r="G340" s="13" t="s">
        <v>78</v>
      </c>
      <c r="H340" s="12"/>
      <c r="I340" s="13" t="s">
        <v>78</v>
      </c>
      <c r="J340" s="12"/>
      <c r="K340" s="19" t="n">
        <f aca="false">INDEX(등급!$D$5:$D$12,MATCH($D340,등급!$A$5:$A$12,0))</f>
        <v>4</v>
      </c>
      <c r="L340" s="19" t="str">
        <f aca="false">IF(INDEX(등급!$H$5:$H$12,MATCH($D340,등급!$A$5:$A$12,0))=0,"-",IF(INDEX(등급!$G$5:$G$12,MATCH($D340,등급!$A$5:$A$12,0))=INDEX(등급!$H$5:$H$12,MATCH($D340,등급!$A$5:$A$12,0)),INDEX(등급!$G$5:$G$12,MATCH($D340,등급!$A$5:$A$12,0))&amp;"칸",INDEX(등급!$G$5:$G$12,MATCH($D340,등급!$A$5:$A$12,0))&amp;"~"&amp;INDEX(등급!$H$5:$H$12,MATCH($D340,등급!$A$5:$A$12,0))&amp;"칸"))</f>
        <v>1~3칸</v>
      </c>
      <c r="M340" s="19" t="str">
        <f aca="false">IF(INDEX(등급!$J$5:$J$12,MATCH($D340,등급!$A$5:$A$12,0))=0,"-",IF(INDEX(등급!$I$5:$I$12,MATCH($D340,등급!$A$5:$A$12,0))=INDEX(등급!$J$5:$J$12,MATCH($D340,등급!$A$5:$A$12,0)),INDEX(등급!$I$5:$I$12,MATCH($D340,등급!$A$5:$A$12,0))&amp;"개",INDEX(등급!$I$5:$I$12,MATCH($D340,등급!$A$5:$A$12,0))&amp;"~"&amp;INDEX(등급!$J$5:$J$12,MATCH($D340,등급!$A$5:$A$12,0))&amp;"개"))</f>
        <v>1개</v>
      </c>
      <c r="N340" s="19" t="str">
        <f aca="false">IF(INDEX(등급!$L$5:$L$12,MATCH($D340,등급!$A$5:$A$12,0))=0,"-",INDEX(등급!$K$5:$K$12,MATCH($D340,등급!$A$5:$A$12,0))&amp;"~"&amp;INDEX(등급!$L$5:$L$12,MATCH($D340,등급!$A$5:$A$12,0))&amp;"개")</f>
        <v>0~2개</v>
      </c>
    </row>
    <row r="341" customFormat="false" ht="15" hidden="false" customHeight="false" outlineLevel="0" collapsed="false">
      <c r="A341" s="19" t="str">
        <f aca="false">장비_기본!B47</f>
        <v>파쇄의 반지</v>
      </c>
      <c r="B341" s="19" t="str">
        <f aca="false">장비_기본!C47</f>
        <v>반지</v>
      </c>
      <c r="C341" s="19" t="str">
        <f aca="false">장비_기본!D47</f>
        <v>공통</v>
      </c>
      <c r="D341" s="8" t="s">
        <v>43</v>
      </c>
      <c r="E341" s="19" t="str">
        <f aca="false">장비_기본!F47</f>
        <v>그로기 피해</v>
      </c>
      <c r="F341" s="21" t="n">
        <f aca="false">장비_기본!G47*INDEX(등급!$C$5:$C$12,MATCH($D341,등급!$A$5:$A$12,0))</f>
        <v>0.05</v>
      </c>
      <c r="G341" s="13" t="s">
        <v>78</v>
      </c>
      <c r="H341" s="12"/>
      <c r="I341" s="13" t="s">
        <v>78</v>
      </c>
      <c r="J341" s="12"/>
      <c r="K341" s="19" t="n">
        <f aca="false">INDEX(등급!$D$5:$D$12,MATCH($D341,등급!$A$5:$A$12,0))</f>
        <v>0</v>
      </c>
      <c r="L341" s="19" t="str">
        <f aca="false">IF(INDEX(등급!$H$5:$H$12,MATCH($D341,등급!$A$5:$A$12,0))=0,"-",IF(INDEX(등급!$G$5:$G$12,MATCH($D341,등급!$A$5:$A$12,0))=INDEX(등급!$H$5:$H$12,MATCH($D341,등급!$A$5:$A$12,0)),INDEX(등급!$G$5:$G$12,MATCH($D341,등급!$A$5:$A$12,0))&amp;"칸",INDEX(등급!$G$5:$G$12,MATCH($D341,등급!$A$5:$A$12,0))&amp;"~"&amp;INDEX(등급!$H$5:$H$12,MATCH($D341,등급!$A$5:$A$12,0))&amp;"칸"))</f>
        <v>-</v>
      </c>
      <c r="M341" s="19" t="str">
        <f aca="false">IF(INDEX(등급!$J$5:$J$12,MATCH($D341,등급!$A$5:$A$12,0))=0,"-",IF(INDEX(등급!$I$5:$I$12,MATCH($D341,등급!$A$5:$A$12,0))=INDEX(등급!$J$5:$J$12,MATCH($D341,등급!$A$5:$A$12,0)),INDEX(등급!$I$5:$I$12,MATCH($D341,등급!$A$5:$A$12,0))&amp;"개",INDEX(등급!$I$5:$I$12,MATCH($D341,등급!$A$5:$A$12,0))&amp;"~"&amp;INDEX(등급!$J$5:$J$12,MATCH($D341,등급!$A$5:$A$12,0))&amp;"개"))</f>
        <v>-</v>
      </c>
      <c r="N341" s="19" t="str">
        <f aca="false">IF(INDEX(등급!$L$5:$L$12,MATCH($D341,등급!$A$5:$A$12,0))=0,"-",INDEX(등급!$K$5:$K$12,MATCH($D341,등급!$A$5:$A$12,0))&amp;"~"&amp;INDEX(등급!$L$5:$L$12,MATCH($D341,등급!$A$5:$A$12,0))&amp;"개")</f>
        <v>-</v>
      </c>
    </row>
    <row r="342" customFormat="false" ht="15" hidden="false" customHeight="false" outlineLevel="0" collapsed="false">
      <c r="A342" s="19" t="str">
        <f aca="false">장비_기본!B47</f>
        <v>파쇄의 반지</v>
      </c>
      <c r="B342" s="19" t="str">
        <f aca="false">장비_기본!C47</f>
        <v>반지</v>
      </c>
      <c r="C342" s="19" t="str">
        <f aca="false">장비_기본!D47</f>
        <v>공통</v>
      </c>
      <c r="D342" s="8" t="s">
        <v>44</v>
      </c>
      <c r="E342" s="19" t="str">
        <f aca="false">장비_기본!F47</f>
        <v>그로기 피해</v>
      </c>
      <c r="F342" s="21" t="n">
        <f aca="false">장비_기본!G47*INDEX(등급!$C$5:$C$12,MATCH($D342,등급!$A$5:$A$12,0))</f>
        <v>0.0725</v>
      </c>
      <c r="G342" s="13" t="s">
        <v>78</v>
      </c>
      <c r="H342" s="12"/>
      <c r="I342" s="13" t="s">
        <v>78</v>
      </c>
      <c r="J342" s="12"/>
      <c r="K342" s="19" t="n">
        <f aca="false">INDEX(등급!$D$5:$D$12,MATCH($D342,등급!$A$5:$A$12,0))</f>
        <v>0</v>
      </c>
      <c r="L342" s="19" t="str">
        <f aca="false">IF(INDEX(등급!$H$5:$H$12,MATCH($D342,등급!$A$5:$A$12,0))=0,"-",IF(INDEX(등급!$G$5:$G$12,MATCH($D342,등급!$A$5:$A$12,0))=INDEX(등급!$H$5:$H$12,MATCH($D342,등급!$A$5:$A$12,0)),INDEX(등급!$G$5:$G$12,MATCH($D342,등급!$A$5:$A$12,0))&amp;"칸",INDEX(등급!$G$5:$G$12,MATCH($D342,등급!$A$5:$A$12,0))&amp;"~"&amp;INDEX(등급!$H$5:$H$12,MATCH($D342,등급!$A$5:$A$12,0))&amp;"칸"))</f>
        <v>-</v>
      </c>
      <c r="M342" s="19" t="str">
        <f aca="false">IF(INDEX(등급!$J$5:$J$12,MATCH($D342,등급!$A$5:$A$12,0))=0,"-",IF(INDEX(등급!$I$5:$I$12,MATCH($D342,등급!$A$5:$A$12,0))=INDEX(등급!$J$5:$J$12,MATCH($D342,등급!$A$5:$A$12,0)),INDEX(등급!$I$5:$I$12,MATCH($D342,등급!$A$5:$A$12,0))&amp;"개",INDEX(등급!$I$5:$I$12,MATCH($D342,등급!$A$5:$A$12,0))&amp;"~"&amp;INDEX(등급!$J$5:$J$12,MATCH($D342,등급!$A$5:$A$12,0))&amp;"개"))</f>
        <v>-</v>
      </c>
      <c r="N342" s="19" t="str">
        <f aca="false">IF(INDEX(등급!$L$5:$L$12,MATCH($D342,등급!$A$5:$A$12,0))=0,"-",INDEX(등급!$K$5:$K$12,MATCH($D342,등급!$A$5:$A$12,0))&amp;"~"&amp;INDEX(등급!$L$5:$L$12,MATCH($D342,등급!$A$5:$A$12,0))&amp;"개")</f>
        <v>-</v>
      </c>
    </row>
    <row r="343" customFormat="false" ht="15" hidden="false" customHeight="false" outlineLevel="0" collapsed="false">
      <c r="A343" s="19" t="str">
        <f aca="false">장비_기본!B47</f>
        <v>파쇄의 반지</v>
      </c>
      <c r="B343" s="19" t="str">
        <f aca="false">장비_기본!C47</f>
        <v>반지</v>
      </c>
      <c r="C343" s="19" t="str">
        <f aca="false">장비_기본!D47</f>
        <v>공통</v>
      </c>
      <c r="D343" s="8" t="s">
        <v>45</v>
      </c>
      <c r="E343" s="19" t="str">
        <f aca="false">장비_기본!F47</f>
        <v>그로기 피해</v>
      </c>
      <c r="F343" s="21" t="n">
        <f aca="false">장비_기본!G47*INDEX(등급!$C$5:$C$12,MATCH($D343,등급!$A$5:$A$12,0))</f>
        <v>0.085</v>
      </c>
      <c r="G343" s="13" t="s">
        <v>78</v>
      </c>
      <c r="H343" s="12"/>
      <c r="I343" s="13" t="s">
        <v>78</v>
      </c>
      <c r="J343" s="12"/>
      <c r="K343" s="19" t="n">
        <f aca="false">INDEX(등급!$D$5:$D$12,MATCH($D343,등급!$A$5:$A$12,0))</f>
        <v>1</v>
      </c>
      <c r="L343" s="19" t="str">
        <f aca="false">IF(INDEX(등급!$H$5:$H$12,MATCH($D343,등급!$A$5:$A$12,0))=0,"-",IF(INDEX(등급!$G$5:$G$12,MATCH($D343,등급!$A$5:$A$12,0))=INDEX(등급!$H$5:$H$12,MATCH($D343,등급!$A$5:$A$12,0)),INDEX(등급!$G$5:$G$12,MATCH($D343,등급!$A$5:$A$12,0))&amp;"칸",INDEX(등급!$G$5:$G$12,MATCH($D343,등급!$A$5:$A$12,0))&amp;"~"&amp;INDEX(등급!$H$5:$H$12,MATCH($D343,등급!$A$5:$A$12,0))&amp;"칸"))</f>
        <v>-</v>
      </c>
      <c r="M343" s="19" t="str">
        <f aca="false">IF(INDEX(등급!$J$5:$J$12,MATCH($D343,등급!$A$5:$A$12,0))=0,"-",IF(INDEX(등급!$I$5:$I$12,MATCH($D343,등급!$A$5:$A$12,0))=INDEX(등급!$J$5:$J$12,MATCH($D343,등급!$A$5:$A$12,0)),INDEX(등급!$I$5:$I$12,MATCH($D343,등급!$A$5:$A$12,0))&amp;"개",INDEX(등급!$I$5:$I$12,MATCH($D343,등급!$A$5:$A$12,0))&amp;"~"&amp;INDEX(등급!$J$5:$J$12,MATCH($D343,등급!$A$5:$A$12,0))&amp;"개"))</f>
        <v>-</v>
      </c>
      <c r="N343" s="19" t="str">
        <f aca="false">IF(INDEX(등급!$L$5:$L$12,MATCH($D343,등급!$A$5:$A$12,0))=0,"-",INDEX(등급!$K$5:$K$12,MATCH($D343,등급!$A$5:$A$12,0))&amp;"~"&amp;INDEX(등급!$L$5:$L$12,MATCH($D343,등급!$A$5:$A$12,0))&amp;"개")</f>
        <v>-</v>
      </c>
    </row>
    <row r="344" customFormat="false" ht="15" hidden="false" customHeight="false" outlineLevel="0" collapsed="false">
      <c r="A344" s="19" t="str">
        <f aca="false">장비_기본!B47</f>
        <v>파쇄의 반지</v>
      </c>
      <c r="B344" s="19" t="str">
        <f aca="false">장비_기본!C47</f>
        <v>반지</v>
      </c>
      <c r="C344" s="19" t="str">
        <f aca="false">장비_기본!D47</f>
        <v>공통</v>
      </c>
      <c r="D344" s="8" t="s">
        <v>46</v>
      </c>
      <c r="E344" s="19" t="str">
        <f aca="false">장비_기본!F47</f>
        <v>그로기 피해</v>
      </c>
      <c r="F344" s="21" t="n">
        <f aca="false">장비_기본!G47*INDEX(등급!$C$5:$C$12,MATCH($D344,등급!$A$5:$A$12,0))</f>
        <v>0.105</v>
      </c>
      <c r="G344" s="13" t="s">
        <v>78</v>
      </c>
      <c r="H344" s="12"/>
      <c r="I344" s="13" t="s">
        <v>78</v>
      </c>
      <c r="J344" s="12"/>
      <c r="K344" s="19" t="n">
        <f aca="false">INDEX(등급!$D$5:$D$12,MATCH($D344,등급!$A$5:$A$12,0))</f>
        <v>2</v>
      </c>
      <c r="L344" s="19" t="str">
        <f aca="false">IF(INDEX(등급!$H$5:$H$12,MATCH($D344,등급!$A$5:$A$12,0))=0,"-",IF(INDEX(등급!$G$5:$G$12,MATCH($D344,등급!$A$5:$A$12,0))=INDEX(등급!$H$5:$H$12,MATCH($D344,등급!$A$5:$A$12,0)),INDEX(등급!$G$5:$G$12,MATCH($D344,등급!$A$5:$A$12,0))&amp;"칸",INDEX(등급!$G$5:$G$12,MATCH($D344,등급!$A$5:$A$12,0))&amp;"~"&amp;INDEX(등급!$H$5:$H$12,MATCH($D344,등급!$A$5:$A$12,0))&amp;"칸"))</f>
        <v>-</v>
      </c>
      <c r="M344" s="19" t="str">
        <f aca="false">IF(INDEX(등급!$J$5:$J$12,MATCH($D344,등급!$A$5:$A$12,0))=0,"-",IF(INDEX(등급!$I$5:$I$12,MATCH($D344,등급!$A$5:$A$12,0))=INDEX(등급!$J$5:$J$12,MATCH($D344,등급!$A$5:$A$12,0)),INDEX(등급!$I$5:$I$12,MATCH($D344,등급!$A$5:$A$12,0))&amp;"개",INDEX(등급!$I$5:$I$12,MATCH($D344,등급!$A$5:$A$12,0))&amp;"~"&amp;INDEX(등급!$J$5:$J$12,MATCH($D344,등급!$A$5:$A$12,0))&amp;"개"))</f>
        <v>-</v>
      </c>
      <c r="N344" s="19" t="str">
        <f aca="false">IF(INDEX(등급!$L$5:$L$12,MATCH($D344,등급!$A$5:$A$12,0))=0,"-",INDEX(등급!$K$5:$K$12,MATCH($D344,등급!$A$5:$A$12,0))&amp;"~"&amp;INDEX(등급!$L$5:$L$12,MATCH($D344,등급!$A$5:$A$12,0))&amp;"개")</f>
        <v>-</v>
      </c>
    </row>
    <row r="345" customFormat="false" ht="15" hidden="false" customHeight="false" outlineLevel="0" collapsed="false">
      <c r="A345" s="19" t="str">
        <f aca="false">장비_기본!B47</f>
        <v>파쇄의 반지</v>
      </c>
      <c r="B345" s="19" t="str">
        <f aca="false">장비_기본!C47</f>
        <v>반지</v>
      </c>
      <c r="C345" s="19" t="str">
        <f aca="false">장비_기본!D47</f>
        <v>공통</v>
      </c>
      <c r="D345" s="8" t="s">
        <v>47</v>
      </c>
      <c r="E345" s="19" t="str">
        <f aca="false">장비_기본!F47</f>
        <v>그로기 피해</v>
      </c>
      <c r="F345" s="21" t="n">
        <f aca="false">장비_기본!G47*INDEX(등급!$C$5:$C$12,MATCH($D345,등급!$A$5:$A$12,0))</f>
        <v>0.1275</v>
      </c>
      <c r="G345" s="13" t="s">
        <v>78</v>
      </c>
      <c r="H345" s="12"/>
      <c r="I345" s="13" t="s">
        <v>78</v>
      </c>
      <c r="J345" s="12"/>
      <c r="K345" s="19" t="n">
        <f aca="false">INDEX(등급!$D$5:$D$12,MATCH($D345,등급!$A$5:$A$12,0))</f>
        <v>3</v>
      </c>
      <c r="L345" s="19" t="str">
        <f aca="false">IF(INDEX(등급!$H$5:$H$12,MATCH($D345,등급!$A$5:$A$12,0))=0,"-",IF(INDEX(등급!$G$5:$G$12,MATCH($D345,등급!$A$5:$A$12,0))=INDEX(등급!$H$5:$H$12,MATCH($D345,등급!$A$5:$A$12,0)),INDEX(등급!$G$5:$G$12,MATCH($D345,등급!$A$5:$A$12,0))&amp;"칸",INDEX(등급!$G$5:$G$12,MATCH($D345,등급!$A$5:$A$12,0))&amp;"~"&amp;INDEX(등급!$H$5:$H$12,MATCH($D345,등급!$A$5:$A$12,0))&amp;"칸"))</f>
        <v>-</v>
      </c>
      <c r="M345" s="19" t="str">
        <f aca="false">IF(INDEX(등급!$J$5:$J$12,MATCH($D345,등급!$A$5:$A$12,0))=0,"-",IF(INDEX(등급!$I$5:$I$12,MATCH($D345,등급!$A$5:$A$12,0))=INDEX(등급!$J$5:$J$12,MATCH($D345,등급!$A$5:$A$12,0)),INDEX(등급!$I$5:$I$12,MATCH($D345,등급!$A$5:$A$12,0))&amp;"개",INDEX(등급!$I$5:$I$12,MATCH($D345,등급!$A$5:$A$12,0))&amp;"~"&amp;INDEX(등급!$J$5:$J$12,MATCH($D345,등급!$A$5:$A$12,0))&amp;"개"))</f>
        <v>-</v>
      </c>
      <c r="N345" s="19" t="str">
        <f aca="false">IF(INDEX(등급!$L$5:$L$12,MATCH($D345,등급!$A$5:$A$12,0))=0,"-",INDEX(등급!$K$5:$K$12,MATCH($D345,등급!$A$5:$A$12,0))&amp;"~"&amp;INDEX(등급!$L$5:$L$12,MATCH($D345,등급!$A$5:$A$12,0))&amp;"개")</f>
        <v>-</v>
      </c>
    </row>
    <row r="346" customFormat="false" ht="15" hidden="false" customHeight="false" outlineLevel="0" collapsed="false">
      <c r="A346" s="19" t="str">
        <f aca="false">장비_기본!B47</f>
        <v>파쇄의 반지</v>
      </c>
      <c r="B346" s="19" t="str">
        <f aca="false">장비_기본!C47</f>
        <v>반지</v>
      </c>
      <c r="C346" s="19" t="str">
        <f aca="false">장비_기본!D47</f>
        <v>공통</v>
      </c>
      <c r="D346" s="8" t="s">
        <v>48</v>
      </c>
      <c r="E346" s="19" t="str">
        <f aca="false">장비_기본!F47</f>
        <v>그로기 피해</v>
      </c>
      <c r="F346" s="21" t="n">
        <f aca="false">장비_기본!G47*INDEX(등급!$C$5:$C$12,MATCH($D346,등급!$A$5:$A$12,0))</f>
        <v>0.1525</v>
      </c>
      <c r="G346" s="13" t="s">
        <v>78</v>
      </c>
      <c r="H346" s="12"/>
      <c r="I346" s="13" t="s">
        <v>78</v>
      </c>
      <c r="J346" s="12"/>
      <c r="K346" s="19" t="n">
        <f aca="false">INDEX(등급!$D$5:$D$12,MATCH($D346,등급!$A$5:$A$12,0))</f>
        <v>4</v>
      </c>
      <c r="L346" s="19" t="str">
        <f aca="false">IF(INDEX(등급!$H$5:$H$12,MATCH($D346,등급!$A$5:$A$12,0))=0,"-",IF(INDEX(등급!$G$5:$G$12,MATCH($D346,등급!$A$5:$A$12,0))=INDEX(등급!$H$5:$H$12,MATCH($D346,등급!$A$5:$A$12,0)),INDEX(등급!$G$5:$G$12,MATCH($D346,등급!$A$5:$A$12,0))&amp;"칸",INDEX(등급!$G$5:$G$12,MATCH($D346,등급!$A$5:$A$12,0))&amp;"~"&amp;INDEX(등급!$H$5:$H$12,MATCH($D346,등급!$A$5:$A$12,0))&amp;"칸"))</f>
        <v>-</v>
      </c>
      <c r="M346" s="19" t="str">
        <f aca="false">IF(INDEX(등급!$J$5:$J$12,MATCH($D346,등급!$A$5:$A$12,0))=0,"-",IF(INDEX(등급!$I$5:$I$12,MATCH($D346,등급!$A$5:$A$12,0))=INDEX(등급!$J$5:$J$12,MATCH($D346,등급!$A$5:$A$12,0)),INDEX(등급!$I$5:$I$12,MATCH($D346,등급!$A$5:$A$12,0))&amp;"개",INDEX(등급!$I$5:$I$12,MATCH($D346,등급!$A$5:$A$12,0))&amp;"~"&amp;INDEX(등급!$J$5:$J$12,MATCH($D346,등급!$A$5:$A$12,0))&amp;"개"))</f>
        <v>-</v>
      </c>
      <c r="N346" s="19" t="str">
        <f aca="false">IF(INDEX(등급!$L$5:$L$12,MATCH($D346,등급!$A$5:$A$12,0))=0,"-",INDEX(등급!$K$5:$K$12,MATCH($D346,등급!$A$5:$A$12,0))&amp;"~"&amp;INDEX(등급!$L$5:$L$12,MATCH($D346,등급!$A$5:$A$12,0))&amp;"개")</f>
        <v>-</v>
      </c>
    </row>
    <row r="347" customFormat="false" ht="15" hidden="false" customHeight="false" outlineLevel="0" collapsed="false">
      <c r="A347" s="19" t="str">
        <f aca="false">장비_기본!B47</f>
        <v>파쇄의 반지</v>
      </c>
      <c r="B347" s="19" t="str">
        <f aca="false">장비_기본!C47</f>
        <v>반지</v>
      </c>
      <c r="C347" s="19" t="str">
        <f aca="false">장비_기본!D47</f>
        <v>공통</v>
      </c>
      <c r="D347" s="8" t="s">
        <v>49</v>
      </c>
      <c r="E347" s="19" t="str">
        <f aca="false">장비_기본!F47</f>
        <v>그로기 피해</v>
      </c>
      <c r="F347" s="21" t="n">
        <f aca="false">장비_기본!G47*INDEX(등급!$C$5:$C$12,MATCH($D347,등급!$A$5:$A$12,0))</f>
        <v>0.16</v>
      </c>
      <c r="G347" s="13" t="s">
        <v>78</v>
      </c>
      <c r="H347" s="12"/>
      <c r="I347" s="13" t="s">
        <v>78</v>
      </c>
      <c r="J347" s="12"/>
      <c r="K347" s="19" t="n">
        <f aca="false">INDEX(등급!$D$5:$D$12,MATCH($D347,등급!$A$5:$A$12,0))</f>
        <v>4</v>
      </c>
      <c r="L347" s="19" t="str">
        <f aca="false">IF(INDEX(등급!$H$5:$H$12,MATCH($D347,등급!$A$5:$A$12,0))=0,"-",IF(INDEX(등급!$G$5:$G$12,MATCH($D347,등급!$A$5:$A$12,0))=INDEX(등급!$H$5:$H$12,MATCH($D347,등급!$A$5:$A$12,0)),INDEX(등급!$G$5:$G$12,MATCH($D347,등급!$A$5:$A$12,0))&amp;"칸",INDEX(등급!$G$5:$G$12,MATCH($D347,등급!$A$5:$A$12,0))&amp;"~"&amp;INDEX(등급!$H$5:$H$12,MATCH($D347,등급!$A$5:$A$12,0))&amp;"칸"))</f>
        <v>1칸</v>
      </c>
      <c r="M347" s="19" t="str">
        <f aca="false">IF(INDEX(등급!$J$5:$J$12,MATCH($D347,등급!$A$5:$A$12,0))=0,"-",IF(INDEX(등급!$I$5:$I$12,MATCH($D347,등급!$A$5:$A$12,0))=INDEX(등급!$J$5:$J$12,MATCH($D347,등급!$A$5:$A$12,0)),INDEX(등급!$I$5:$I$12,MATCH($D347,등급!$A$5:$A$12,0))&amp;"개",INDEX(등급!$I$5:$I$12,MATCH($D347,등급!$A$5:$A$12,0))&amp;"~"&amp;INDEX(등급!$J$5:$J$12,MATCH($D347,등급!$A$5:$A$12,0))&amp;"개"))</f>
        <v>0~1개</v>
      </c>
      <c r="N347" s="19" t="str">
        <f aca="false">IF(INDEX(등급!$L$5:$L$12,MATCH($D347,등급!$A$5:$A$12,0))=0,"-",INDEX(등급!$K$5:$K$12,MATCH($D347,등급!$A$5:$A$12,0))&amp;"~"&amp;INDEX(등급!$L$5:$L$12,MATCH($D347,등급!$A$5:$A$12,0))&amp;"개")</f>
        <v>0~1개</v>
      </c>
    </row>
    <row r="348" customFormat="false" ht="15" hidden="false" customHeight="false" outlineLevel="0" collapsed="false">
      <c r="A348" s="19" t="str">
        <f aca="false">장비_기본!B47</f>
        <v>파쇄의 반지</v>
      </c>
      <c r="B348" s="19" t="str">
        <f aca="false">장비_기본!C47</f>
        <v>반지</v>
      </c>
      <c r="C348" s="19" t="str">
        <f aca="false">장비_기본!D47</f>
        <v>공통</v>
      </c>
      <c r="D348" s="8" t="s">
        <v>51</v>
      </c>
      <c r="E348" s="19" t="str">
        <f aca="false">장비_기본!F47</f>
        <v>그로기 피해</v>
      </c>
      <c r="F348" s="21" t="n">
        <f aca="false">장비_기본!G47*INDEX(등급!$C$5:$C$12,MATCH($D348,등급!$A$5:$A$12,0))</f>
        <v>0.165</v>
      </c>
      <c r="G348" s="13" t="s">
        <v>78</v>
      </c>
      <c r="H348" s="12"/>
      <c r="I348" s="13" t="s">
        <v>78</v>
      </c>
      <c r="J348" s="12"/>
      <c r="K348" s="19" t="n">
        <f aca="false">INDEX(등급!$D$5:$D$12,MATCH($D348,등급!$A$5:$A$12,0))</f>
        <v>4</v>
      </c>
      <c r="L348" s="19" t="str">
        <f aca="false">IF(INDEX(등급!$H$5:$H$12,MATCH($D348,등급!$A$5:$A$12,0))=0,"-",IF(INDEX(등급!$G$5:$G$12,MATCH($D348,등급!$A$5:$A$12,0))=INDEX(등급!$H$5:$H$12,MATCH($D348,등급!$A$5:$A$12,0)),INDEX(등급!$G$5:$G$12,MATCH($D348,등급!$A$5:$A$12,0))&amp;"칸",INDEX(등급!$G$5:$G$12,MATCH($D348,등급!$A$5:$A$12,0))&amp;"~"&amp;INDEX(등급!$H$5:$H$12,MATCH($D348,등급!$A$5:$A$12,0))&amp;"칸"))</f>
        <v>1~3칸</v>
      </c>
      <c r="M348" s="19" t="str">
        <f aca="false">IF(INDEX(등급!$J$5:$J$12,MATCH($D348,등급!$A$5:$A$12,0))=0,"-",IF(INDEX(등급!$I$5:$I$12,MATCH($D348,등급!$A$5:$A$12,0))=INDEX(등급!$J$5:$J$12,MATCH($D348,등급!$A$5:$A$12,0)),INDEX(등급!$I$5:$I$12,MATCH($D348,등급!$A$5:$A$12,0))&amp;"개",INDEX(등급!$I$5:$I$12,MATCH($D348,등급!$A$5:$A$12,0))&amp;"~"&amp;INDEX(등급!$J$5:$J$12,MATCH($D348,등급!$A$5:$A$12,0))&amp;"개"))</f>
        <v>1개</v>
      </c>
      <c r="N348" s="19" t="str">
        <f aca="false">IF(INDEX(등급!$L$5:$L$12,MATCH($D348,등급!$A$5:$A$12,0))=0,"-",INDEX(등급!$K$5:$K$12,MATCH($D348,등급!$A$5:$A$12,0))&amp;"~"&amp;INDEX(등급!$L$5:$L$12,MATCH($D348,등급!$A$5:$A$12,0))&amp;"개")</f>
        <v>0~2개</v>
      </c>
    </row>
    <row r="349" customFormat="false" ht="15" hidden="false" customHeight="false" outlineLevel="0" collapsed="false">
      <c r="A349" s="19" t="str">
        <f aca="false">장비_기본!B48</f>
        <v>현자의 목걸이</v>
      </c>
      <c r="B349" s="19" t="str">
        <f aca="false">장비_기본!C48</f>
        <v>목걸이</v>
      </c>
      <c r="C349" s="19" t="str">
        <f aca="false">장비_기본!D48</f>
        <v>공통</v>
      </c>
      <c r="D349" s="8" t="s">
        <v>43</v>
      </c>
      <c r="E349" s="19" t="str">
        <f aca="false">장비_기본!F48</f>
        <v>스킬 피해</v>
      </c>
      <c r="F349" s="21" t="n">
        <f aca="false">장비_기본!G48*INDEX(등급!$C$5:$C$12,MATCH($D349,등급!$A$5:$A$12,0))</f>
        <v>0.04</v>
      </c>
      <c r="G349" s="13" t="s">
        <v>78</v>
      </c>
      <c r="H349" s="12"/>
      <c r="I349" s="13" t="s">
        <v>78</v>
      </c>
      <c r="J349" s="12"/>
      <c r="K349" s="19" t="n">
        <f aca="false">INDEX(등급!$D$5:$D$12,MATCH($D349,등급!$A$5:$A$12,0))</f>
        <v>0</v>
      </c>
      <c r="L349" s="19" t="str">
        <f aca="false">IF(INDEX(등급!$H$5:$H$12,MATCH($D349,등급!$A$5:$A$12,0))=0,"-",IF(INDEX(등급!$G$5:$G$12,MATCH($D349,등급!$A$5:$A$12,0))=INDEX(등급!$H$5:$H$12,MATCH($D349,등급!$A$5:$A$12,0)),INDEX(등급!$G$5:$G$12,MATCH($D349,등급!$A$5:$A$12,0))&amp;"칸",INDEX(등급!$G$5:$G$12,MATCH($D349,등급!$A$5:$A$12,0))&amp;"~"&amp;INDEX(등급!$H$5:$H$12,MATCH($D349,등급!$A$5:$A$12,0))&amp;"칸"))</f>
        <v>-</v>
      </c>
      <c r="M349" s="19" t="str">
        <f aca="false">IF(INDEX(등급!$J$5:$J$12,MATCH($D349,등급!$A$5:$A$12,0))=0,"-",IF(INDEX(등급!$I$5:$I$12,MATCH($D349,등급!$A$5:$A$12,0))=INDEX(등급!$J$5:$J$12,MATCH($D349,등급!$A$5:$A$12,0)),INDEX(등급!$I$5:$I$12,MATCH($D349,등급!$A$5:$A$12,0))&amp;"개",INDEX(등급!$I$5:$I$12,MATCH($D349,등급!$A$5:$A$12,0))&amp;"~"&amp;INDEX(등급!$J$5:$J$12,MATCH($D349,등급!$A$5:$A$12,0))&amp;"개"))</f>
        <v>-</v>
      </c>
      <c r="N349" s="19" t="str">
        <f aca="false">IF(INDEX(등급!$L$5:$L$12,MATCH($D349,등급!$A$5:$A$12,0))=0,"-",INDEX(등급!$K$5:$K$12,MATCH($D349,등급!$A$5:$A$12,0))&amp;"~"&amp;INDEX(등급!$L$5:$L$12,MATCH($D349,등급!$A$5:$A$12,0))&amp;"개")</f>
        <v>-</v>
      </c>
    </row>
    <row r="350" customFormat="false" ht="15" hidden="false" customHeight="false" outlineLevel="0" collapsed="false">
      <c r="A350" s="19" t="str">
        <f aca="false">장비_기본!B48</f>
        <v>현자의 목걸이</v>
      </c>
      <c r="B350" s="19" t="str">
        <f aca="false">장비_기본!C48</f>
        <v>목걸이</v>
      </c>
      <c r="C350" s="19" t="str">
        <f aca="false">장비_기본!D48</f>
        <v>공통</v>
      </c>
      <c r="D350" s="8" t="s">
        <v>44</v>
      </c>
      <c r="E350" s="19" t="str">
        <f aca="false">장비_기본!F48</f>
        <v>스킬 피해</v>
      </c>
      <c r="F350" s="21" t="n">
        <f aca="false">장비_기본!G48*INDEX(등급!$C$5:$C$12,MATCH($D350,등급!$A$5:$A$12,0))</f>
        <v>0.058</v>
      </c>
      <c r="G350" s="13" t="s">
        <v>78</v>
      </c>
      <c r="H350" s="12"/>
      <c r="I350" s="13" t="s">
        <v>78</v>
      </c>
      <c r="J350" s="12"/>
      <c r="K350" s="19" t="n">
        <f aca="false">INDEX(등급!$D$5:$D$12,MATCH($D350,등급!$A$5:$A$12,0))</f>
        <v>0</v>
      </c>
      <c r="L350" s="19" t="str">
        <f aca="false">IF(INDEX(등급!$H$5:$H$12,MATCH($D350,등급!$A$5:$A$12,0))=0,"-",IF(INDEX(등급!$G$5:$G$12,MATCH($D350,등급!$A$5:$A$12,0))=INDEX(등급!$H$5:$H$12,MATCH($D350,등급!$A$5:$A$12,0)),INDEX(등급!$G$5:$G$12,MATCH($D350,등급!$A$5:$A$12,0))&amp;"칸",INDEX(등급!$G$5:$G$12,MATCH($D350,등급!$A$5:$A$12,0))&amp;"~"&amp;INDEX(등급!$H$5:$H$12,MATCH($D350,등급!$A$5:$A$12,0))&amp;"칸"))</f>
        <v>-</v>
      </c>
      <c r="M350" s="19" t="str">
        <f aca="false">IF(INDEX(등급!$J$5:$J$12,MATCH($D350,등급!$A$5:$A$12,0))=0,"-",IF(INDEX(등급!$I$5:$I$12,MATCH($D350,등급!$A$5:$A$12,0))=INDEX(등급!$J$5:$J$12,MATCH($D350,등급!$A$5:$A$12,0)),INDEX(등급!$I$5:$I$12,MATCH($D350,등급!$A$5:$A$12,0))&amp;"개",INDEX(등급!$I$5:$I$12,MATCH($D350,등급!$A$5:$A$12,0))&amp;"~"&amp;INDEX(등급!$J$5:$J$12,MATCH($D350,등급!$A$5:$A$12,0))&amp;"개"))</f>
        <v>-</v>
      </c>
      <c r="N350" s="19" t="str">
        <f aca="false">IF(INDEX(등급!$L$5:$L$12,MATCH($D350,등급!$A$5:$A$12,0))=0,"-",INDEX(등급!$K$5:$K$12,MATCH($D350,등급!$A$5:$A$12,0))&amp;"~"&amp;INDEX(등급!$L$5:$L$12,MATCH($D350,등급!$A$5:$A$12,0))&amp;"개")</f>
        <v>-</v>
      </c>
    </row>
    <row r="351" customFormat="false" ht="15" hidden="false" customHeight="false" outlineLevel="0" collapsed="false">
      <c r="A351" s="19" t="str">
        <f aca="false">장비_기본!B48</f>
        <v>현자의 목걸이</v>
      </c>
      <c r="B351" s="19" t="str">
        <f aca="false">장비_기본!C48</f>
        <v>목걸이</v>
      </c>
      <c r="C351" s="19" t="str">
        <f aca="false">장비_기본!D48</f>
        <v>공통</v>
      </c>
      <c r="D351" s="8" t="s">
        <v>45</v>
      </c>
      <c r="E351" s="19" t="str">
        <f aca="false">장비_기본!F48</f>
        <v>스킬 피해</v>
      </c>
      <c r="F351" s="21" t="n">
        <f aca="false">장비_기본!G48*INDEX(등급!$C$5:$C$12,MATCH($D351,등급!$A$5:$A$12,0))</f>
        <v>0.068</v>
      </c>
      <c r="G351" s="13" t="s">
        <v>78</v>
      </c>
      <c r="H351" s="12"/>
      <c r="I351" s="13" t="s">
        <v>78</v>
      </c>
      <c r="J351" s="12"/>
      <c r="K351" s="19" t="n">
        <f aca="false">INDEX(등급!$D$5:$D$12,MATCH($D351,등급!$A$5:$A$12,0))</f>
        <v>1</v>
      </c>
      <c r="L351" s="19" t="str">
        <f aca="false">IF(INDEX(등급!$H$5:$H$12,MATCH($D351,등급!$A$5:$A$12,0))=0,"-",IF(INDEX(등급!$G$5:$G$12,MATCH($D351,등급!$A$5:$A$12,0))=INDEX(등급!$H$5:$H$12,MATCH($D351,등급!$A$5:$A$12,0)),INDEX(등급!$G$5:$G$12,MATCH($D351,등급!$A$5:$A$12,0))&amp;"칸",INDEX(등급!$G$5:$G$12,MATCH($D351,등급!$A$5:$A$12,0))&amp;"~"&amp;INDEX(등급!$H$5:$H$12,MATCH($D351,등급!$A$5:$A$12,0))&amp;"칸"))</f>
        <v>-</v>
      </c>
      <c r="M351" s="19" t="str">
        <f aca="false">IF(INDEX(등급!$J$5:$J$12,MATCH($D351,등급!$A$5:$A$12,0))=0,"-",IF(INDEX(등급!$I$5:$I$12,MATCH($D351,등급!$A$5:$A$12,0))=INDEX(등급!$J$5:$J$12,MATCH($D351,등급!$A$5:$A$12,0)),INDEX(등급!$I$5:$I$12,MATCH($D351,등급!$A$5:$A$12,0))&amp;"개",INDEX(등급!$I$5:$I$12,MATCH($D351,등급!$A$5:$A$12,0))&amp;"~"&amp;INDEX(등급!$J$5:$J$12,MATCH($D351,등급!$A$5:$A$12,0))&amp;"개"))</f>
        <v>-</v>
      </c>
      <c r="N351" s="19" t="str">
        <f aca="false">IF(INDEX(등급!$L$5:$L$12,MATCH($D351,등급!$A$5:$A$12,0))=0,"-",INDEX(등급!$K$5:$K$12,MATCH($D351,등급!$A$5:$A$12,0))&amp;"~"&amp;INDEX(등급!$L$5:$L$12,MATCH($D351,등급!$A$5:$A$12,0))&amp;"개")</f>
        <v>-</v>
      </c>
    </row>
    <row r="352" customFormat="false" ht="15" hidden="false" customHeight="false" outlineLevel="0" collapsed="false">
      <c r="A352" s="19" t="str">
        <f aca="false">장비_기본!B48</f>
        <v>현자의 목걸이</v>
      </c>
      <c r="B352" s="19" t="str">
        <f aca="false">장비_기본!C48</f>
        <v>목걸이</v>
      </c>
      <c r="C352" s="19" t="str">
        <f aca="false">장비_기본!D48</f>
        <v>공통</v>
      </c>
      <c r="D352" s="8" t="s">
        <v>46</v>
      </c>
      <c r="E352" s="19" t="str">
        <f aca="false">장비_기본!F48</f>
        <v>스킬 피해</v>
      </c>
      <c r="F352" s="21" t="n">
        <f aca="false">장비_기본!G48*INDEX(등급!$C$5:$C$12,MATCH($D352,등급!$A$5:$A$12,0))</f>
        <v>0.084</v>
      </c>
      <c r="G352" s="13" t="s">
        <v>78</v>
      </c>
      <c r="H352" s="12"/>
      <c r="I352" s="13" t="s">
        <v>78</v>
      </c>
      <c r="J352" s="12"/>
      <c r="K352" s="19" t="n">
        <f aca="false">INDEX(등급!$D$5:$D$12,MATCH($D352,등급!$A$5:$A$12,0))</f>
        <v>2</v>
      </c>
      <c r="L352" s="19" t="str">
        <f aca="false">IF(INDEX(등급!$H$5:$H$12,MATCH($D352,등급!$A$5:$A$12,0))=0,"-",IF(INDEX(등급!$G$5:$G$12,MATCH($D352,등급!$A$5:$A$12,0))=INDEX(등급!$H$5:$H$12,MATCH($D352,등급!$A$5:$A$12,0)),INDEX(등급!$G$5:$G$12,MATCH($D352,등급!$A$5:$A$12,0))&amp;"칸",INDEX(등급!$G$5:$G$12,MATCH($D352,등급!$A$5:$A$12,0))&amp;"~"&amp;INDEX(등급!$H$5:$H$12,MATCH($D352,등급!$A$5:$A$12,0))&amp;"칸"))</f>
        <v>-</v>
      </c>
      <c r="M352" s="19" t="str">
        <f aca="false">IF(INDEX(등급!$J$5:$J$12,MATCH($D352,등급!$A$5:$A$12,0))=0,"-",IF(INDEX(등급!$I$5:$I$12,MATCH($D352,등급!$A$5:$A$12,0))=INDEX(등급!$J$5:$J$12,MATCH($D352,등급!$A$5:$A$12,0)),INDEX(등급!$I$5:$I$12,MATCH($D352,등급!$A$5:$A$12,0))&amp;"개",INDEX(등급!$I$5:$I$12,MATCH($D352,등급!$A$5:$A$12,0))&amp;"~"&amp;INDEX(등급!$J$5:$J$12,MATCH($D352,등급!$A$5:$A$12,0))&amp;"개"))</f>
        <v>-</v>
      </c>
      <c r="N352" s="19" t="str">
        <f aca="false">IF(INDEX(등급!$L$5:$L$12,MATCH($D352,등급!$A$5:$A$12,0))=0,"-",INDEX(등급!$K$5:$K$12,MATCH($D352,등급!$A$5:$A$12,0))&amp;"~"&amp;INDEX(등급!$L$5:$L$12,MATCH($D352,등급!$A$5:$A$12,0))&amp;"개")</f>
        <v>-</v>
      </c>
    </row>
    <row r="353" customFormat="false" ht="15" hidden="false" customHeight="false" outlineLevel="0" collapsed="false">
      <c r="A353" s="19" t="str">
        <f aca="false">장비_기본!B48</f>
        <v>현자의 목걸이</v>
      </c>
      <c r="B353" s="19" t="str">
        <f aca="false">장비_기본!C48</f>
        <v>목걸이</v>
      </c>
      <c r="C353" s="19" t="str">
        <f aca="false">장비_기본!D48</f>
        <v>공통</v>
      </c>
      <c r="D353" s="8" t="s">
        <v>47</v>
      </c>
      <c r="E353" s="19" t="str">
        <f aca="false">장비_기본!F48</f>
        <v>스킬 피해</v>
      </c>
      <c r="F353" s="21" t="n">
        <f aca="false">장비_기본!G48*INDEX(등급!$C$5:$C$12,MATCH($D353,등급!$A$5:$A$12,0))</f>
        <v>0.102</v>
      </c>
      <c r="G353" s="13" t="s">
        <v>78</v>
      </c>
      <c r="H353" s="12"/>
      <c r="I353" s="13" t="s">
        <v>78</v>
      </c>
      <c r="J353" s="12"/>
      <c r="K353" s="19" t="n">
        <f aca="false">INDEX(등급!$D$5:$D$12,MATCH($D353,등급!$A$5:$A$12,0))</f>
        <v>3</v>
      </c>
      <c r="L353" s="19" t="str">
        <f aca="false">IF(INDEX(등급!$H$5:$H$12,MATCH($D353,등급!$A$5:$A$12,0))=0,"-",IF(INDEX(등급!$G$5:$G$12,MATCH($D353,등급!$A$5:$A$12,0))=INDEX(등급!$H$5:$H$12,MATCH($D353,등급!$A$5:$A$12,0)),INDEX(등급!$G$5:$G$12,MATCH($D353,등급!$A$5:$A$12,0))&amp;"칸",INDEX(등급!$G$5:$G$12,MATCH($D353,등급!$A$5:$A$12,0))&amp;"~"&amp;INDEX(등급!$H$5:$H$12,MATCH($D353,등급!$A$5:$A$12,0))&amp;"칸"))</f>
        <v>-</v>
      </c>
      <c r="M353" s="19" t="str">
        <f aca="false">IF(INDEX(등급!$J$5:$J$12,MATCH($D353,등급!$A$5:$A$12,0))=0,"-",IF(INDEX(등급!$I$5:$I$12,MATCH($D353,등급!$A$5:$A$12,0))=INDEX(등급!$J$5:$J$12,MATCH($D353,등급!$A$5:$A$12,0)),INDEX(등급!$I$5:$I$12,MATCH($D353,등급!$A$5:$A$12,0))&amp;"개",INDEX(등급!$I$5:$I$12,MATCH($D353,등급!$A$5:$A$12,0))&amp;"~"&amp;INDEX(등급!$J$5:$J$12,MATCH($D353,등급!$A$5:$A$12,0))&amp;"개"))</f>
        <v>-</v>
      </c>
      <c r="N353" s="19" t="str">
        <f aca="false">IF(INDEX(등급!$L$5:$L$12,MATCH($D353,등급!$A$5:$A$12,0))=0,"-",INDEX(등급!$K$5:$K$12,MATCH($D353,등급!$A$5:$A$12,0))&amp;"~"&amp;INDEX(등급!$L$5:$L$12,MATCH($D353,등급!$A$5:$A$12,0))&amp;"개")</f>
        <v>-</v>
      </c>
    </row>
    <row r="354" customFormat="false" ht="15" hidden="false" customHeight="false" outlineLevel="0" collapsed="false">
      <c r="A354" s="19" t="str">
        <f aca="false">장비_기본!B48</f>
        <v>현자의 목걸이</v>
      </c>
      <c r="B354" s="19" t="str">
        <f aca="false">장비_기본!C48</f>
        <v>목걸이</v>
      </c>
      <c r="C354" s="19" t="str">
        <f aca="false">장비_기본!D48</f>
        <v>공통</v>
      </c>
      <c r="D354" s="8" t="s">
        <v>48</v>
      </c>
      <c r="E354" s="19" t="str">
        <f aca="false">장비_기본!F48</f>
        <v>스킬 피해</v>
      </c>
      <c r="F354" s="21" t="n">
        <f aca="false">장비_기본!G48*INDEX(등급!$C$5:$C$12,MATCH($D354,등급!$A$5:$A$12,0))</f>
        <v>0.122</v>
      </c>
      <c r="G354" s="13" t="s">
        <v>78</v>
      </c>
      <c r="H354" s="12"/>
      <c r="I354" s="13" t="s">
        <v>78</v>
      </c>
      <c r="J354" s="12"/>
      <c r="K354" s="19" t="n">
        <f aca="false">INDEX(등급!$D$5:$D$12,MATCH($D354,등급!$A$5:$A$12,0))</f>
        <v>4</v>
      </c>
      <c r="L354" s="19" t="str">
        <f aca="false">IF(INDEX(등급!$H$5:$H$12,MATCH($D354,등급!$A$5:$A$12,0))=0,"-",IF(INDEX(등급!$G$5:$G$12,MATCH($D354,등급!$A$5:$A$12,0))=INDEX(등급!$H$5:$H$12,MATCH($D354,등급!$A$5:$A$12,0)),INDEX(등급!$G$5:$G$12,MATCH($D354,등급!$A$5:$A$12,0))&amp;"칸",INDEX(등급!$G$5:$G$12,MATCH($D354,등급!$A$5:$A$12,0))&amp;"~"&amp;INDEX(등급!$H$5:$H$12,MATCH($D354,등급!$A$5:$A$12,0))&amp;"칸"))</f>
        <v>-</v>
      </c>
      <c r="M354" s="19" t="str">
        <f aca="false">IF(INDEX(등급!$J$5:$J$12,MATCH($D354,등급!$A$5:$A$12,0))=0,"-",IF(INDEX(등급!$I$5:$I$12,MATCH($D354,등급!$A$5:$A$12,0))=INDEX(등급!$J$5:$J$12,MATCH($D354,등급!$A$5:$A$12,0)),INDEX(등급!$I$5:$I$12,MATCH($D354,등급!$A$5:$A$12,0))&amp;"개",INDEX(등급!$I$5:$I$12,MATCH($D354,등급!$A$5:$A$12,0))&amp;"~"&amp;INDEX(등급!$J$5:$J$12,MATCH($D354,등급!$A$5:$A$12,0))&amp;"개"))</f>
        <v>-</v>
      </c>
      <c r="N354" s="19" t="str">
        <f aca="false">IF(INDEX(등급!$L$5:$L$12,MATCH($D354,등급!$A$5:$A$12,0))=0,"-",INDEX(등급!$K$5:$K$12,MATCH($D354,등급!$A$5:$A$12,0))&amp;"~"&amp;INDEX(등급!$L$5:$L$12,MATCH($D354,등급!$A$5:$A$12,0))&amp;"개")</f>
        <v>-</v>
      </c>
    </row>
    <row r="355" customFormat="false" ht="15" hidden="false" customHeight="false" outlineLevel="0" collapsed="false">
      <c r="A355" s="19" t="str">
        <f aca="false">장비_기본!B48</f>
        <v>현자의 목걸이</v>
      </c>
      <c r="B355" s="19" t="str">
        <f aca="false">장비_기본!C48</f>
        <v>목걸이</v>
      </c>
      <c r="C355" s="19" t="str">
        <f aca="false">장비_기본!D48</f>
        <v>공통</v>
      </c>
      <c r="D355" s="8" t="s">
        <v>49</v>
      </c>
      <c r="E355" s="19" t="str">
        <f aca="false">장비_기본!F48</f>
        <v>스킬 피해</v>
      </c>
      <c r="F355" s="21" t="n">
        <f aca="false">장비_기본!G48*INDEX(등급!$C$5:$C$12,MATCH($D355,등급!$A$5:$A$12,0))</f>
        <v>0.128</v>
      </c>
      <c r="G355" s="13" t="s">
        <v>78</v>
      </c>
      <c r="H355" s="12"/>
      <c r="I355" s="13" t="s">
        <v>78</v>
      </c>
      <c r="J355" s="12"/>
      <c r="K355" s="19" t="n">
        <f aca="false">INDEX(등급!$D$5:$D$12,MATCH($D355,등급!$A$5:$A$12,0))</f>
        <v>4</v>
      </c>
      <c r="L355" s="19" t="str">
        <f aca="false">IF(INDEX(등급!$H$5:$H$12,MATCH($D355,등급!$A$5:$A$12,0))=0,"-",IF(INDEX(등급!$G$5:$G$12,MATCH($D355,등급!$A$5:$A$12,0))=INDEX(등급!$H$5:$H$12,MATCH($D355,등급!$A$5:$A$12,0)),INDEX(등급!$G$5:$G$12,MATCH($D355,등급!$A$5:$A$12,0))&amp;"칸",INDEX(등급!$G$5:$G$12,MATCH($D355,등급!$A$5:$A$12,0))&amp;"~"&amp;INDEX(등급!$H$5:$H$12,MATCH($D355,등급!$A$5:$A$12,0))&amp;"칸"))</f>
        <v>1칸</v>
      </c>
      <c r="M355" s="19" t="str">
        <f aca="false">IF(INDEX(등급!$J$5:$J$12,MATCH($D355,등급!$A$5:$A$12,0))=0,"-",IF(INDEX(등급!$I$5:$I$12,MATCH($D355,등급!$A$5:$A$12,0))=INDEX(등급!$J$5:$J$12,MATCH($D355,등급!$A$5:$A$12,0)),INDEX(등급!$I$5:$I$12,MATCH($D355,등급!$A$5:$A$12,0))&amp;"개",INDEX(등급!$I$5:$I$12,MATCH($D355,등급!$A$5:$A$12,0))&amp;"~"&amp;INDEX(등급!$J$5:$J$12,MATCH($D355,등급!$A$5:$A$12,0))&amp;"개"))</f>
        <v>0~1개</v>
      </c>
      <c r="N355" s="19" t="str">
        <f aca="false">IF(INDEX(등급!$L$5:$L$12,MATCH($D355,등급!$A$5:$A$12,0))=0,"-",INDEX(등급!$K$5:$K$12,MATCH($D355,등급!$A$5:$A$12,0))&amp;"~"&amp;INDEX(등급!$L$5:$L$12,MATCH($D355,등급!$A$5:$A$12,0))&amp;"개")</f>
        <v>0~1개</v>
      </c>
    </row>
    <row r="356" customFormat="false" ht="15" hidden="false" customHeight="false" outlineLevel="0" collapsed="false">
      <c r="A356" s="19" t="str">
        <f aca="false">장비_기본!B48</f>
        <v>현자의 목걸이</v>
      </c>
      <c r="B356" s="19" t="str">
        <f aca="false">장비_기본!C48</f>
        <v>목걸이</v>
      </c>
      <c r="C356" s="19" t="str">
        <f aca="false">장비_기본!D48</f>
        <v>공통</v>
      </c>
      <c r="D356" s="8" t="s">
        <v>51</v>
      </c>
      <c r="E356" s="19" t="str">
        <f aca="false">장비_기본!F48</f>
        <v>스킬 피해</v>
      </c>
      <c r="F356" s="21" t="n">
        <f aca="false">장비_기본!G48*INDEX(등급!$C$5:$C$12,MATCH($D356,등급!$A$5:$A$12,0))</f>
        <v>0.132</v>
      </c>
      <c r="G356" s="13" t="s">
        <v>78</v>
      </c>
      <c r="H356" s="12"/>
      <c r="I356" s="13" t="s">
        <v>78</v>
      </c>
      <c r="J356" s="12"/>
      <c r="K356" s="19" t="n">
        <f aca="false">INDEX(등급!$D$5:$D$12,MATCH($D356,등급!$A$5:$A$12,0))</f>
        <v>4</v>
      </c>
      <c r="L356" s="19" t="str">
        <f aca="false">IF(INDEX(등급!$H$5:$H$12,MATCH($D356,등급!$A$5:$A$12,0))=0,"-",IF(INDEX(등급!$G$5:$G$12,MATCH($D356,등급!$A$5:$A$12,0))=INDEX(등급!$H$5:$H$12,MATCH($D356,등급!$A$5:$A$12,0)),INDEX(등급!$G$5:$G$12,MATCH($D356,등급!$A$5:$A$12,0))&amp;"칸",INDEX(등급!$G$5:$G$12,MATCH($D356,등급!$A$5:$A$12,0))&amp;"~"&amp;INDEX(등급!$H$5:$H$12,MATCH($D356,등급!$A$5:$A$12,0))&amp;"칸"))</f>
        <v>1~3칸</v>
      </c>
      <c r="M356" s="19" t="str">
        <f aca="false">IF(INDEX(등급!$J$5:$J$12,MATCH($D356,등급!$A$5:$A$12,0))=0,"-",IF(INDEX(등급!$I$5:$I$12,MATCH($D356,등급!$A$5:$A$12,0))=INDEX(등급!$J$5:$J$12,MATCH($D356,등급!$A$5:$A$12,0)),INDEX(등급!$I$5:$I$12,MATCH($D356,등급!$A$5:$A$12,0))&amp;"개",INDEX(등급!$I$5:$I$12,MATCH($D356,등급!$A$5:$A$12,0))&amp;"~"&amp;INDEX(등급!$J$5:$J$12,MATCH($D356,등급!$A$5:$A$12,0))&amp;"개"))</f>
        <v>1개</v>
      </c>
      <c r="N356" s="19" t="str">
        <f aca="false">IF(INDEX(등급!$L$5:$L$12,MATCH($D356,등급!$A$5:$A$12,0))=0,"-",INDEX(등급!$K$5:$K$12,MATCH($D356,등급!$A$5:$A$12,0))&amp;"~"&amp;INDEX(등급!$L$5:$L$12,MATCH($D356,등급!$A$5:$A$12,0))&amp;"개")</f>
        <v>0~2개</v>
      </c>
    </row>
    <row r="357" customFormat="false" ht="15" hidden="false" customHeight="false" outlineLevel="0" collapsed="false">
      <c r="A357" s="19" t="str">
        <f aca="false">장비_기본!B49</f>
        <v>시간의 목걸이</v>
      </c>
      <c r="B357" s="19" t="str">
        <f aca="false">장비_기본!C49</f>
        <v>목걸이</v>
      </c>
      <c r="C357" s="19" t="str">
        <f aca="false">장비_기본!D49</f>
        <v>공통</v>
      </c>
      <c r="D357" s="8" t="s">
        <v>43</v>
      </c>
      <c r="E357" s="19" t="str">
        <f aca="false">장비_기본!F49</f>
        <v>쿨타임 감소</v>
      </c>
      <c r="F357" s="21" t="n">
        <f aca="false">장비_기본!G49*INDEX(등급!$C$5:$C$12,MATCH($D357,등급!$A$5:$A$12,0))</f>
        <v>0.015</v>
      </c>
      <c r="G357" s="13" t="s">
        <v>78</v>
      </c>
      <c r="H357" s="12"/>
      <c r="I357" s="13" t="s">
        <v>78</v>
      </c>
      <c r="J357" s="12"/>
      <c r="K357" s="19" t="n">
        <f aca="false">INDEX(등급!$D$5:$D$12,MATCH($D357,등급!$A$5:$A$12,0))</f>
        <v>0</v>
      </c>
      <c r="L357" s="19" t="str">
        <f aca="false">IF(INDEX(등급!$H$5:$H$12,MATCH($D357,등급!$A$5:$A$12,0))=0,"-",IF(INDEX(등급!$G$5:$G$12,MATCH($D357,등급!$A$5:$A$12,0))=INDEX(등급!$H$5:$H$12,MATCH($D357,등급!$A$5:$A$12,0)),INDEX(등급!$G$5:$G$12,MATCH($D357,등급!$A$5:$A$12,0))&amp;"칸",INDEX(등급!$G$5:$G$12,MATCH($D357,등급!$A$5:$A$12,0))&amp;"~"&amp;INDEX(등급!$H$5:$H$12,MATCH($D357,등급!$A$5:$A$12,0))&amp;"칸"))</f>
        <v>-</v>
      </c>
      <c r="M357" s="19" t="str">
        <f aca="false">IF(INDEX(등급!$J$5:$J$12,MATCH($D357,등급!$A$5:$A$12,0))=0,"-",IF(INDEX(등급!$I$5:$I$12,MATCH($D357,등급!$A$5:$A$12,0))=INDEX(등급!$J$5:$J$12,MATCH($D357,등급!$A$5:$A$12,0)),INDEX(등급!$I$5:$I$12,MATCH($D357,등급!$A$5:$A$12,0))&amp;"개",INDEX(등급!$I$5:$I$12,MATCH($D357,등급!$A$5:$A$12,0))&amp;"~"&amp;INDEX(등급!$J$5:$J$12,MATCH($D357,등급!$A$5:$A$12,0))&amp;"개"))</f>
        <v>-</v>
      </c>
      <c r="N357" s="19" t="str">
        <f aca="false">IF(INDEX(등급!$L$5:$L$12,MATCH($D357,등급!$A$5:$A$12,0))=0,"-",INDEX(등급!$K$5:$K$12,MATCH($D357,등급!$A$5:$A$12,0))&amp;"~"&amp;INDEX(등급!$L$5:$L$12,MATCH($D357,등급!$A$5:$A$12,0))&amp;"개")</f>
        <v>-</v>
      </c>
    </row>
    <row r="358" customFormat="false" ht="15" hidden="false" customHeight="false" outlineLevel="0" collapsed="false">
      <c r="A358" s="19" t="str">
        <f aca="false">장비_기본!B49</f>
        <v>시간의 목걸이</v>
      </c>
      <c r="B358" s="19" t="str">
        <f aca="false">장비_기본!C49</f>
        <v>목걸이</v>
      </c>
      <c r="C358" s="19" t="str">
        <f aca="false">장비_기본!D49</f>
        <v>공통</v>
      </c>
      <c r="D358" s="8" t="s">
        <v>44</v>
      </c>
      <c r="E358" s="19" t="str">
        <f aca="false">장비_기본!F49</f>
        <v>쿨타임 감소</v>
      </c>
      <c r="F358" s="21" t="n">
        <f aca="false">장비_기본!G49*INDEX(등급!$C$5:$C$12,MATCH($D358,등급!$A$5:$A$12,0))</f>
        <v>0.02175</v>
      </c>
      <c r="G358" s="13" t="s">
        <v>78</v>
      </c>
      <c r="H358" s="12"/>
      <c r="I358" s="13" t="s">
        <v>78</v>
      </c>
      <c r="J358" s="12"/>
      <c r="K358" s="19" t="n">
        <f aca="false">INDEX(등급!$D$5:$D$12,MATCH($D358,등급!$A$5:$A$12,0))</f>
        <v>0</v>
      </c>
      <c r="L358" s="19" t="str">
        <f aca="false">IF(INDEX(등급!$H$5:$H$12,MATCH($D358,등급!$A$5:$A$12,0))=0,"-",IF(INDEX(등급!$G$5:$G$12,MATCH($D358,등급!$A$5:$A$12,0))=INDEX(등급!$H$5:$H$12,MATCH($D358,등급!$A$5:$A$12,0)),INDEX(등급!$G$5:$G$12,MATCH($D358,등급!$A$5:$A$12,0))&amp;"칸",INDEX(등급!$G$5:$G$12,MATCH($D358,등급!$A$5:$A$12,0))&amp;"~"&amp;INDEX(등급!$H$5:$H$12,MATCH($D358,등급!$A$5:$A$12,0))&amp;"칸"))</f>
        <v>-</v>
      </c>
      <c r="M358" s="19" t="str">
        <f aca="false">IF(INDEX(등급!$J$5:$J$12,MATCH($D358,등급!$A$5:$A$12,0))=0,"-",IF(INDEX(등급!$I$5:$I$12,MATCH($D358,등급!$A$5:$A$12,0))=INDEX(등급!$J$5:$J$12,MATCH($D358,등급!$A$5:$A$12,0)),INDEX(등급!$I$5:$I$12,MATCH($D358,등급!$A$5:$A$12,0))&amp;"개",INDEX(등급!$I$5:$I$12,MATCH($D358,등급!$A$5:$A$12,0))&amp;"~"&amp;INDEX(등급!$J$5:$J$12,MATCH($D358,등급!$A$5:$A$12,0))&amp;"개"))</f>
        <v>-</v>
      </c>
      <c r="N358" s="19" t="str">
        <f aca="false">IF(INDEX(등급!$L$5:$L$12,MATCH($D358,등급!$A$5:$A$12,0))=0,"-",INDEX(등급!$K$5:$K$12,MATCH($D358,등급!$A$5:$A$12,0))&amp;"~"&amp;INDEX(등급!$L$5:$L$12,MATCH($D358,등급!$A$5:$A$12,0))&amp;"개")</f>
        <v>-</v>
      </c>
    </row>
    <row r="359" customFormat="false" ht="15" hidden="false" customHeight="false" outlineLevel="0" collapsed="false">
      <c r="A359" s="19" t="str">
        <f aca="false">장비_기본!B49</f>
        <v>시간의 목걸이</v>
      </c>
      <c r="B359" s="19" t="str">
        <f aca="false">장비_기본!C49</f>
        <v>목걸이</v>
      </c>
      <c r="C359" s="19" t="str">
        <f aca="false">장비_기본!D49</f>
        <v>공통</v>
      </c>
      <c r="D359" s="8" t="s">
        <v>45</v>
      </c>
      <c r="E359" s="19" t="str">
        <f aca="false">장비_기본!F49</f>
        <v>쿨타임 감소</v>
      </c>
      <c r="F359" s="21" t="n">
        <f aca="false">장비_기본!G49*INDEX(등급!$C$5:$C$12,MATCH($D359,등급!$A$5:$A$12,0))</f>
        <v>0.0255</v>
      </c>
      <c r="G359" s="13" t="s">
        <v>78</v>
      </c>
      <c r="H359" s="12"/>
      <c r="I359" s="13" t="s">
        <v>78</v>
      </c>
      <c r="J359" s="12"/>
      <c r="K359" s="19" t="n">
        <f aca="false">INDEX(등급!$D$5:$D$12,MATCH($D359,등급!$A$5:$A$12,0))</f>
        <v>1</v>
      </c>
      <c r="L359" s="19" t="str">
        <f aca="false">IF(INDEX(등급!$H$5:$H$12,MATCH($D359,등급!$A$5:$A$12,0))=0,"-",IF(INDEX(등급!$G$5:$G$12,MATCH($D359,등급!$A$5:$A$12,0))=INDEX(등급!$H$5:$H$12,MATCH($D359,등급!$A$5:$A$12,0)),INDEX(등급!$G$5:$G$12,MATCH($D359,등급!$A$5:$A$12,0))&amp;"칸",INDEX(등급!$G$5:$G$12,MATCH($D359,등급!$A$5:$A$12,0))&amp;"~"&amp;INDEX(등급!$H$5:$H$12,MATCH($D359,등급!$A$5:$A$12,0))&amp;"칸"))</f>
        <v>-</v>
      </c>
      <c r="M359" s="19" t="str">
        <f aca="false">IF(INDEX(등급!$J$5:$J$12,MATCH($D359,등급!$A$5:$A$12,0))=0,"-",IF(INDEX(등급!$I$5:$I$12,MATCH($D359,등급!$A$5:$A$12,0))=INDEX(등급!$J$5:$J$12,MATCH($D359,등급!$A$5:$A$12,0)),INDEX(등급!$I$5:$I$12,MATCH($D359,등급!$A$5:$A$12,0))&amp;"개",INDEX(등급!$I$5:$I$12,MATCH($D359,등급!$A$5:$A$12,0))&amp;"~"&amp;INDEX(등급!$J$5:$J$12,MATCH($D359,등급!$A$5:$A$12,0))&amp;"개"))</f>
        <v>-</v>
      </c>
      <c r="N359" s="19" t="str">
        <f aca="false">IF(INDEX(등급!$L$5:$L$12,MATCH($D359,등급!$A$5:$A$12,0))=0,"-",INDEX(등급!$K$5:$K$12,MATCH($D359,등급!$A$5:$A$12,0))&amp;"~"&amp;INDEX(등급!$L$5:$L$12,MATCH($D359,등급!$A$5:$A$12,0))&amp;"개")</f>
        <v>-</v>
      </c>
    </row>
    <row r="360" customFormat="false" ht="15" hidden="false" customHeight="false" outlineLevel="0" collapsed="false">
      <c r="A360" s="19" t="str">
        <f aca="false">장비_기본!B49</f>
        <v>시간의 목걸이</v>
      </c>
      <c r="B360" s="19" t="str">
        <f aca="false">장비_기본!C49</f>
        <v>목걸이</v>
      </c>
      <c r="C360" s="19" t="str">
        <f aca="false">장비_기본!D49</f>
        <v>공통</v>
      </c>
      <c r="D360" s="8" t="s">
        <v>46</v>
      </c>
      <c r="E360" s="19" t="str">
        <f aca="false">장비_기본!F49</f>
        <v>쿨타임 감소</v>
      </c>
      <c r="F360" s="21" t="n">
        <f aca="false">장비_기본!G49*INDEX(등급!$C$5:$C$12,MATCH($D360,등급!$A$5:$A$12,0))</f>
        <v>0.0315</v>
      </c>
      <c r="G360" s="13" t="s">
        <v>78</v>
      </c>
      <c r="H360" s="12"/>
      <c r="I360" s="13" t="s">
        <v>78</v>
      </c>
      <c r="J360" s="12"/>
      <c r="K360" s="19" t="n">
        <f aca="false">INDEX(등급!$D$5:$D$12,MATCH($D360,등급!$A$5:$A$12,0))</f>
        <v>2</v>
      </c>
      <c r="L360" s="19" t="str">
        <f aca="false">IF(INDEX(등급!$H$5:$H$12,MATCH($D360,등급!$A$5:$A$12,0))=0,"-",IF(INDEX(등급!$G$5:$G$12,MATCH($D360,등급!$A$5:$A$12,0))=INDEX(등급!$H$5:$H$12,MATCH($D360,등급!$A$5:$A$12,0)),INDEX(등급!$G$5:$G$12,MATCH($D360,등급!$A$5:$A$12,0))&amp;"칸",INDEX(등급!$G$5:$G$12,MATCH($D360,등급!$A$5:$A$12,0))&amp;"~"&amp;INDEX(등급!$H$5:$H$12,MATCH($D360,등급!$A$5:$A$12,0))&amp;"칸"))</f>
        <v>-</v>
      </c>
      <c r="M360" s="19" t="str">
        <f aca="false">IF(INDEX(등급!$J$5:$J$12,MATCH($D360,등급!$A$5:$A$12,0))=0,"-",IF(INDEX(등급!$I$5:$I$12,MATCH($D360,등급!$A$5:$A$12,0))=INDEX(등급!$J$5:$J$12,MATCH($D360,등급!$A$5:$A$12,0)),INDEX(등급!$I$5:$I$12,MATCH($D360,등급!$A$5:$A$12,0))&amp;"개",INDEX(등급!$I$5:$I$12,MATCH($D360,등급!$A$5:$A$12,0))&amp;"~"&amp;INDEX(등급!$J$5:$J$12,MATCH($D360,등급!$A$5:$A$12,0))&amp;"개"))</f>
        <v>-</v>
      </c>
      <c r="N360" s="19" t="str">
        <f aca="false">IF(INDEX(등급!$L$5:$L$12,MATCH($D360,등급!$A$5:$A$12,0))=0,"-",INDEX(등급!$K$5:$K$12,MATCH($D360,등급!$A$5:$A$12,0))&amp;"~"&amp;INDEX(등급!$L$5:$L$12,MATCH($D360,등급!$A$5:$A$12,0))&amp;"개")</f>
        <v>-</v>
      </c>
    </row>
    <row r="361" customFormat="false" ht="15" hidden="false" customHeight="false" outlineLevel="0" collapsed="false">
      <c r="A361" s="19" t="str">
        <f aca="false">장비_기본!B49</f>
        <v>시간의 목걸이</v>
      </c>
      <c r="B361" s="19" t="str">
        <f aca="false">장비_기본!C49</f>
        <v>목걸이</v>
      </c>
      <c r="C361" s="19" t="str">
        <f aca="false">장비_기본!D49</f>
        <v>공통</v>
      </c>
      <c r="D361" s="8" t="s">
        <v>47</v>
      </c>
      <c r="E361" s="19" t="str">
        <f aca="false">장비_기본!F49</f>
        <v>쿨타임 감소</v>
      </c>
      <c r="F361" s="21" t="n">
        <f aca="false">장비_기본!G49*INDEX(등급!$C$5:$C$12,MATCH($D361,등급!$A$5:$A$12,0))</f>
        <v>0.03825</v>
      </c>
      <c r="G361" s="13" t="s">
        <v>78</v>
      </c>
      <c r="H361" s="12"/>
      <c r="I361" s="13" t="s">
        <v>78</v>
      </c>
      <c r="J361" s="12"/>
      <c r="K361" s="19" t="n">
        <f aca="false">INDEX(등급!$D$5:$D$12,MATCH($D361,등급!$A$5:$A$12,0))</f>
        <v>3</v>
      </c>
      <c r="L361" s="19" t="str">
        <f aca="false">IF(INDEX(등급!$H$5:$H$12,MATCH($D361,등급!$A$5:$A$12,0))=0,"-",IF(INDEX(등급!$G$5:$G$12,MATCH($D361,등급!$A$5:$A$12,0))=INDEX(등급!$H$5:$H$12,MATCH($D361,등급!$A$5:$A$12,0)),INDEX(등급!$G$5:$G$12,MATCH($D361,등급!$A$5:$A$12,0))&amp;"칸",INDEX(등급!$G$5:$G$12,MATCH($D361,등급!$A$5:$A$12,0))&amp;"~"&amp;INDEX(등급!$H$5:$H$12,MATCH($D361,등급!$A$5:$A$12,0))&amp;"칸"))</f>
        <v>-</v>
      </c>
      <c r="M361" s="19" t="str">
        <f aca="false">IF(INDEX(등급!$J$5:$J$12,MATCH($D361,등급!$A$5:$A$12,0))=0,"-",IF(INDEX(등급!$I$5:$I$12,MATCH($D361,등급!$A$5:$A$12,0))=INDEX(등급!$J$5:$J$12,MATCH($D361,등급!$A$5:$A$12,0)),INDEX(등급!$I$5:$I$12,MATCH($D361,등급!$A$5:$A$12,0))&amp;"개",INDEX(등급!$I$5:$I$12,MATCH($D361,등급!$A$5:$A$12,0))&amp;"~"&amp;INDEX(등급!$J$5:$J$12,MATCH($D361,등급!$A$5:$A$12,0))&amp;"개"))</f>
        <v>-</v>
      </c>
      <c r="N361" s="19" t="str">
        <f aca="false">IF(INDEX(등급!$L$5:$L$12,MATCH($D361,등급!$A$5:$A$12,0))=0,"-",INDEX(등급!$K$5:$K$12,MATCH($D361,등급!$A$5:$A$12,0))&amp;"~"&amp;INDEX(등급!$L$5:$L$12,MATCH($D361,등급!$A$5:$A$12,0))&amp;"개")</f>
        <v>-</v>
      </c>
    </row>
    <row r="362" customFormat="false" ht="15" hidden="false" customHeight="false" outlineLevel="0" collapsed="false">
      <c r="A362" s="19" t="str">
        <f aca="false">장비_기본!B49</f>
        <v>시간의 목걸이</v>
      </c>
      <c r="B362" s="19" t="str">
        <f aca="false">장비_기본!C49</f>
        <v>목걸이</v>
      </c>
      <c r="C362" s="19" t="str">
        <f aca="false">장비_기본!D49</f>
        <v>공통</v>
      </c>
      <c r="D362" s="8" t="s">
        <v>48</v>
      </c>
      <c r="E362" s="19" t="str">
        <f aca="false">장비_기본!F49</f>
        <v>쿨타임 감소</v>
      </c>
      <c r="F362" s="21" t="n">
        <f aca="false">장비_기본!G49*INDEX(등급!$C$5:$C$12,MATCH($D362,등급!$A$5:$A$12,0))</f>
        <v>0.04575</v>
      </c>
      <c r="G362" s="13" t="s">
        <v>78</v>
      </c>
      <c r="H362" s="12"/>
      <c r="I362" s="13" t="s">
        <v>78</v>
      </c>
      <c r="J362" s="12"/>
      <c r="K362" s="19" t="n">
        <f aca="false">INDEX(등급!$D$5:$D$12,MATCH($D362,등급!$A$5:$A$12,0))</f>
        <v>4</v>
      </c>
      <c r="L362" s="19" t="str">
        <f aca="false">IF(INDEX(등급!$H$5:$H$12,MATCH($D362,등급!$A$5:$A$12,0))=0,"-",IF(INDEX(등급!$G$5:$G$12,MATCH($D362,등급!$A$5:$A$12,0))=INDEX(등급!$H$5:$H$12,MATCH($D362,등급!$A$5:$A$12,0)),INDEX(등급!$G$5:$G$12,MATCH($D362,등급!$A$5:$A$12,0))&amp;"칸",INDEX(등급!$G$5:$G$12,MATCH($D362,등급!$A$5:$A$12,0))&amp;"~"&amp;INDEX(등급!$H$5:$H$12,MATCH($D362,등급!$A$5:$A$12,0))&amp;"칸"))</f>
        <v>-</v>
      </c>
      <c r="M362" s="19" t="str">
        <f aca="false">IF(INDEX(등급!$J$5:$J$12,MATCH($D362,등급!$A$5:$A$12,0))=0,"-",IF(INDEX(등급!$I$5:$I$12,MATCH($D362,등급!$A$5:$A$12,0))=INDEX(등급!$J$5:$J$12,MATCH($D362,등급!$A$5:$A$12,0)),INDEX(등급!$I$5:$I$12,MATCH($D362,등급!$A$5:$A$12,0))&amp;"개",INDEX(등급!$I$5:$I$12,MATCH($D362,등급!$A$5:$A$12,0))&amp;"~"&amp;INDEX(등급!$J$5:$J$12,MATCH($D362,등급!$A$5:$A$12,0))&amp;"개"))</f>
        <v>-</v>
      </c>
      <c r="N362" s="19" t="str">
        <f aca="false">IF(INDEX(등급!$L$5:$L$12,MATCH($D362,등급!$A$5:$A$12,0))=0,"-",INDEX(등급!$K$5:$K$12,MATCH($D362,등급!$A$5:$A$12,0))&amp;"~"&amp;INDEX(등급!$L$5:$L$12,MATCH($D362,등급!$A$5:$A$12,0))&amp;"개")</f>
        <v>-</v>
      </c>
    </row>
    <row r="363" customFormat="false" ht="15" hidden="false" customHeight="false" outlineLevel="0" collapsed="false">
      <c r="A363" s="19" t="str">
        <f aca="false">장비_기본!B49</f>
        <v>시간의 목걸이</v>
      </c>
      <c r="B363" s="19" t="str">
        <f aca="false">장비_기본!C49</f>
        <v>목걸이</v>
      </c>
      <c r="C363" s="19" t="str">
        <f aca="false">장비_기본!D49</f>
        <v>공통</v>
      </c>
      <c r="D363" s="8" t="s">
        <v>49</v>
      </c>
      <c r="E363" s="19" t="str">
        <f aca="false">장비_기본!F49</f>
        <v>쿨타임 감소</v>
      </c>
      <c r="F363" s="21" t="n">
        <f aca="false">장비_기본!G49*INDEX(등급!$C$5:$C$12,MATCH($D363,등급!$A$5:$A$12,0))</f>
        <v>0.048</v>
      </c>
      <c r="G363" s="13" t="s">
        <v>78</v>
      </c>
      <c r="H363" s="12"/>
      <c r="I363" s="13" t="s">
        <v>78</v>
      </c>
      <c r="J363" s="12"/>
      <c r="K363" s="19" t="n">
        <f aca="false">INDEX(등급!$D$5:$D$12,MATCH($D363,등급!$A$5:$A$12,0))</f>
        <v>4</v>
      </c>
      <c r="L363" s="19" t="str">
        <f aca="false">IF(INDEX(등급!$H$5:$H$12,MATCH($D363,등급!$A$5:$A$12,0))=0,"-",IF(INDEX(등급!$G$5:$G$12,MATCH($D363,등급!$A$5:$A$12,0))=INDEX(등급!$H$5:$H$12,MATCH($D363,등급!$A$5:$A$12,0)),INDEX(등급!$G$5:$G$12,MATCH($D363,등급!$A$5:$A$12,0))&amp;"칸",INDEX(등급!$G$5:$G$12,MATCH($D363,등급!$A$5:$A$12,0))&amp;"~"&amp;INDEX(등급!$H$5:$H$12,MATCH($D363,등급!$A$5:$A$12,0))&amp;"칸"))</f>
        <v>1칸</v>
      </c>
      <c r="M363" s="19" t="str">
        <f aca="false">IF(INDEX(등급!$J$5:$J$12,MATCH($D363,등급!$A$5:$A$12,0))=0,"-",IF(INDEX(등급!$I$5:$I$12,MATCH($D363,등급!$A$5:$A$12,0))=INDEX(등급!$J$5:$J$12,MATCH($D363,등급!$A$5:$A$12,0)),INDEX(등급!$I$5:$I$12,MATCH($D363,등급!$A$5:$A$12,0))&amp;"개",INDEX(등급!$I$5:$I$12,MATCH($D363,등급!$A$5:$A$12,0))&amp;"~"&amp;INDEX(등급!$J$5:$J$12,MATCH($D363,등급!$A$5:$A$12,0))&amp;"개"))</f>
        <v>0~1개</v>
      </c>
      <c r="N363" s="19" t="str">
        <f aca="false">IF(INDEX(등급!$L$5:$L$12,MATCH($D363,등급!$A$5:$A$12,0))=0,"-",INDEX(등급!$K$5:$K$12,MATCH($D363,등급!$A$5:$A$12,0))&amp;"~"&amp;INDEX(등급!$L$5:$L$12,MATCH($D363,등급!$A$5:$A$12,0))&amp;"개")</f>
        <v>0~1개</v>
      </c>
    </row>
    <row r="364" customFormat="false" ht="15" hidden="false" customHeight="false" outlineLevel="0" collapsed="false">
      <c r="A364" s="19" t="str">
        <f aca="false">장비_기본!B49</f>
        <v>시간의 목걸이</v>
      </c>
      <c r="B364" s="19" t="str">
        <f aca="false">장비_기본!C49</f>
        <v>목걸이</v>
      </c>
      <c r="C364" s="19" t="str">
        <f aca="false">장비_기본!D49</f>
        <v>공통</v>
      </c>
      <c r="D364" s="8" t="s">
        <v>51</v>
      </c>
      <c r="E364" s="19" t="str">
        <f aca="false">장비_기본!F49</f>
        <v>쿨타임 감소</v>
      </c>
      <c r="F364" s="21" t="n">
        <f aca="false">장비_기본!G49*INDEX(등급!$C$5:$C$12,MATCH($D364,등급!$A$5:$A$12,0))</f>
        <v>0.0495</v>
      </c>
      <c r="G364" s="13" t="s">
        <v>78</v>
      </c>
      <c r="H364" s="12"/>
      <c r="I364" s="13" t="s">
        <v>78</v>
      </c>
      <c r="J364" s="12"/>
      <c r="K364" s="19" t="n">
        <f aca="false">INDEX(등급!$D$5:$D$12,MATCH($D364,등급!$A$5:$A$12,0))</f>
        <v>4</v>
      </c>
      <c r="L364" s="19" t="str">
        <f aca="false">IF(INDEX(등급!$H$5:$H$12,MATCH($D364,등급!$A$5:$A$12,0))=0,"-",IF(INDEX(등급!$G$5:$G$12,MATCH($D364,등급!$A$5:$A$12,0))=INDEX(등급!$H$5:$H$12,MATCH($D364,등급!$A$5:$A$12,0)),INDEX(등급!$G$5:$G$12,MATCH($D364,등급!$A$5:$A$12,0))&amp;"칸",INDEX(등급!$G$5:$G$12,MATCH($D364,등급!$A$5:$A$12,0))&amp;"~"&amp;INDEX(등급!$H$5:$H$12,MATCH($D364,등급!$A$5:$A$12,0))&amp;"칸"))</f>
        <v>1~3칸</v>
      </c>
      <c r="M364" s="19" t="str">
        <f aca="false">IF(INDEX(등급!$J$5:$J$12,MATCH($D364,등급!$A$5:$A$12,0))=0,"-",IF(INDEX(등급!$I$5:$I$12,MATCH($D364,등급!$A$5:$A$12,0))=INDEX(등급!$J$5:$J$12,MATCH($D364,등급!$A$5:$A$12,0)),INDEX(등급!$I$5:$I$12,MATCH($D364,등급!$A$5:$A$12,0))&amp;"개",INDEX(등급!$I$5:$I$12,MATCH($D364,등급!$A$5:$A$12,0))&amp;"~"&amp;INDEX(등급!$J$5:$J$12,MATCH($D364,등급!$A$5:$A$12,0))&amp;"개"))</f>
        <v>1개</v>
      </c>
      <c r="N364" s="19" t="str">
        <f aca="false">IF(INDEX(등급!$L$5:$L$12,MATCH($D364,등급!$A$5:$A$12,0))=0,"-",INDEX(등급!$K$5:$K$12,MATCH($D364,등급!$A$5:$A$12,0))&amp;"~"&amp;INDEX(등급!$L$5:$L$12,MATCH($D364,등급!$A$5:$A$12,0))&amp;"개")</f>
        <v>0~2개</v>
      </c>
    </row>
    <row r="365" customFormat="false" ht="15" hidden="false" customHeight="false" outlineLevel="0" collapsed="false">
      <c r="A365" s="19" t="str">
        <f aca="false">장비_기본!B50</f>
        <v>영혼의 목걸이</v>
      </c>
      <c r="B365" s="19" t="str">
        <f aca="false">장비_기본!C50</f>
        <v>목걸이</v>
      </c>
      <c r="C365" s="19" t="str">
        <f aca="false">장비_기본!D50</f>
        <v>공통</v>
      </c>
      <c r="D365" s="8" t="s">
        <v>43</v>
      </c>
      <c r="E365" s="19" t="str">
        <f aca="false">장비_기본!F50</f>
        <v>필살기 충전</v>
      </c>
      <c r="F365" s="21" t="n">
        <f aca="false">장비_기본!G50*INDEX(등급!$C$5:$C$12,MATCH($D365,등급!$A$5:$A$12,0))</f>
        <v>0.05</v>
      </c>
      <c r="G365" s="13" t="s">
        <v>78</v>
      </c>
      <c r="H365" s="12"/>
      <c r="I365" s="13" t="s">
        <v>78</v>
      </c>
      <c r="J365" s="12"/>
      <c r="K365" s="19" t="n">
        <f aca="false">INDEX(등급!$D$5:$D$12,MATCH($D365,등급!$A$5:$A$12,0))</f>
        <v>0</v>
      </c>
      <c r="L365" s="19" t="str">
        <f aca="false">IF(INDEX(등급!$H$5:$H$12,MATCH($D365,등급!$A$5:$A$12,0))=0,"-",IF(INDEX(등급!$G$5:$G$12,MATCH($D365,등급!$A$5:$A$12,0))=INDEX(등급!$H$5:$H$12,MATCH($D365,등급!$A$5:$A$12,0)),INDEX(등급!$G$5:$G$12,MATCH($D365,등급!$A$5:$A$12,0))&amp;"칸",INDEX(등급!$G$5:$G$12,MATCH($D365,등급!$A$5:$A$12,0))&amp;"~"&amp;INDEX(등급!$H$5:$H$12,MATCH($D365,등급!$A$5:$A$12,0))&amp;"칸"))</f>
        <v>-</v>
      </c>
      <c r="M365" s="19" t="str">
        <f aca="false">IF(INDEX(등급!$J$5:$J$12,MATCH($D365,등급!$A$5:$A$12,0))=0,"-",IF(INDEX(등급!$I$5:$I$12,MATCH($D365,등급!$A$5:$A$12,0))=INDEX(등급!$J$5:$J$12,MATCH($D365,등급!$A$5:$A$12,0)),INDEX(등급!$I$5:$I$12,MATCH($D365,등급!$A$5:$A$12,0))&amp;"개",INDEX(등급!$I$5:$I$12,MATCH($D365,등급!$A$5:$A$12,0))&amp;"~"&amp;INDEX(등급!$J$5:$J$12,MATCH($D365,등급!$A$5:$A$12,0))&amp;"개"))</f>
        <v>-</v>
      </c>
      <c r="N365" s="19" t="str">
        <f aca="false">IF(INDEX(등급!$L$5:$L$12,MATCH($D365,등급!$A$5:$A$12,0))=0,"-",INDEX(등급!$K$5:$K$12,MATCH($D365,등급!$A$5:$A$12,0))&amp;"~"&amp;INDEX(등급!$L$5:$L$12,MATCH($D365,등급!$A$5:$A$12,0))&amp;"개")</f>
        <v>-</v>
      </c>
    </row>
    <row r="366" customFormat="false" ht="15" hidden="false" customHeight="false" outlineLevel="0" collapsed="false">
      <c r="A366" s="19" t="str">
        <f aca="false">장비_기본!B50</f>
        <v>영혼의 목걸이</v>
      </c>
      <c r="B366" s="19" t="str">
        <f aca="false">장비_기본!C50</f>
        <v>목걸이</v>
      </c>
      <c r="C366" s="19" t="str">
        <f aca="false">장비_기본!D50</f>
        <v>공통</v>
      </c>
      <c r="D366" s="8" t="s">
        <v>44</v>
      </c>
      <c r="E366" s="19" t="str">
        <f aca="false">장비_기본!F50</f>
        <v>필살기 충전</v>
      </c>
      <c r="F366" s="21" t="n">
        <f aca="false">장비_기본!G50*INDEX(등급!$C$5:$C$12,MATCH($D366,등급!$A$5:$A$12,0))</f>
        <v>0.0725</v>
      </c>
      <c r="G366" s="13" t="s">
        <v>78</v>
      </c>
      <c r="H366" s="12"/>
      <c r="I366" s="13" t="s">
        <v>78</v>
      </c>
      <c r="J366" s="12"/>
      <c r="K366" s="19" t="n">
        <f aca="false">INDEX(등급!$D$5:$D$12,MATCH($D366,등급!$A$5:$A$12,0))</f>
        <v>0</v>
      </c>
      <c r="L366" s="19" t="str">
        <f aca="false">IF(INDEX(등급!$H$5:$H$12,MATCH($D366,등급!$A$5:$A$12,0))=0,"-",IF(INDEX(등급!$G$5:$G$12,MATCH($D366,등급!$A$5:$A$12,0))=INDEX(등급!$H$5:$H$12,MATCH($D366,등급!$A$5:$A$12,0)),INDEX(등급!$G$5:$G$12,MATCH($D366,등급!$A$5:$A$12,0))&amp;"칸",INDEX(등급!$G$5:$G$12,MATCH($D366,등급!$A$5:$A$12,0))&amp;"~"&amp;INDEX(등급!$H$5:$H$12,MATCH($D366,등급!$A$5:$A$12,0))&amp;"칸"))</f>
        <v>-</v>
      </c>
      <c r="M366" s="19" t="str">
        <f aca="false">IF(INDEX(등급!$J$5:$J$12,MATCH($D366,등급!$A$5:$A$12,0))=0,"-",IF(INDEX(등급!$I$5:$I$12,MATCH($D366,등급!$A$5:$A$12,0))=INDEX(등급!$J$5:$J$12,MATCH($D366,등급!$A$5:$A$12,0)),INDEX(등급!$I$5:$I$12,MATCH($D366,등급!$A$5:$A$12,0))&amp;"개",INDEX(등급!$I$5:$I$12,MATCH($D366,등급!$A$5:$A$12,0))&amp;"~"&amp;INDEX(등급!$J$5:$J$12,MATCH($D366,등급!$A$5:$A$12,0))&amp;"개"))</f>
        <v>-</v>
      </c>
      <c r="N366" s="19" t="str">
        <f aca="false">IF(INDEX(등급!$L$5:$L$12,MATCH($D366,등급!$A$5:$A$12,0))=0,"-",INDEX(등급!$K$5:$K$12,MATCH($D366,등급!$A$5:$A$12,0))&amp;"~"&amp;INDEX(등급!$L$5:$L$12,MATCH($D366,등급!$A$5:$A$12,0))&amp;"개")</f>
        <v>-</v>
      </c>
    </row>
    <row r="367" customFormat="false" ht="15" hidden="false" customHeight="false" outlineLevel="0" collapsed="false">
      <c r="A367" s="19" t="str">
        <f aca="false">장비_기본!B50</f>
        <v>영혼의 목걸이</v>
      </c>
      <c r="B367" s="19" t="str">
        <f aca="false">장비_기본!C50</f>
        <v>목걸이</v>
      </c>
      <c r="C367" s="19" t="str">
        <f aca="false">장비_기본!D50</f>
        <v>공통</v>
      </c>
      <c r="D367" s="8" t="s">
        <v>45</v>
      </c>
      <c r="E367" s="19" t="str">
        <f aca="false">장비_기본!F50</f>
        <v>필살기 충전</v>
      </c>
      <c r="F367" s="21" t="n">
        <f aca="false">장비_기본!G50*INDEX(등급!$C$5:$C$12,MATCH($D367,등급!$A$5:$A$12,0))</f>
        <v>0.085</v>
      </c>
      <c r="G367" s="13" t="s">
        <v>78</v>
      </c>
      <c r="H367" s="12"/>
      <c r="I367" s="13" t="s">
        <v>78</v>
      </c>
      <c r="J367" s="12"/>
      <c r="K367" s="19" t="n">
        <f aca="false">INDEX(등급!$D$5:$D$12,MATCH($D367,등급!$A$5:$A$12,0))</f>
        <v>1</v>
      </c>
      <c r="L367" s="19" t="str">
        <f aca="false">IF(INDEX(등급!$H$5:$H$12,MATCH($D367,등급!$A$5:$A$12,0))=0,"-",IF(INDEX(등급!$G$5:$G$12,MATCH($D367,등급!$A$5:$A$12,0))=INDEX(등급!$H$5:$H$12,MATCH($D367,등급!$A$5:$A$12,0)),INDEX(등급!$G$5:$G$12,MATCH($D367,등급!$A$5:$A$12,0))&amp;"칸",INDEX(등급!$G$5:$G$12,MATCH($D367,등급!$A$5:$A$12,0))&amp;"~"&amp;INDEX(등급!$H$5:$H$12,MATCH($D367,등급!$A$5:$A$12,0))&amp;"칸"))</f>
        <v>-</v>
      </c>
      <c r="M367" s="19" t="str">
        <f aca="false">IF(INDEX(등급!$J$5:$J$12,MATCH($D367,등급!$A$5:$A$12,0))=0,"-",IF(INDEX(등급!$I$5:$I$12,MATCH($D367,등급!$A$5:$A$12,0))=INDEX(등급!$J$5:$J$12,MATCH($D367,등급!$A$5:$A$12,0)),INDEX(등급!$I$5:$I$12,MATCH($D367,등급!$A$5:$A$12,0))&amp;"개",INDEX(등급!$I$5:$I$12,MATCH($D367,등급!$A$5:$A$12,0))&amp;"~"&amp;INDEX(등급!$J$5:$J$12,MATCH($D367,등급!$A$5:$A$12,0))&amp;"개"))</f>
        <v>-</v>
      </c>
      <c r="N367" s="19" t="str">
        <f aca="false">IF(INDEX(등급!$L$5:$L$12,MATCH($D367,등급!$A$5:$A$12,0))=0,"-",INDEX(등급!$K$5:$K$12,MATCH($D367,등급!$A$5:$A$12,0))&amp;"~"&amp;INDEX(등급!$L$5:$L$12,MATCH($D367,등급!$A$5:$A$12,0))&amp;"개")</f>
        <v>-</v>
      </c>
    </row>
    <row r="368" customFormat="false" ht="15" hidden="false" customHeight="false" outlineLevel="0" collapsed="false">
      <c r="A368" s="19" t="str">
        <f aca="false">장비_기본!B50</f>
        <v>영혼의 목걸이</v>
      </c>
      <c r="B368" s="19" t="str">
        <f aca="false">장비_기본!C50</f>
        <v>목걸이</v>
      </c>
      <c r="C368" s="19" t="str">
        <f aca="false">장비_기본!D50</f>
        <v>공통</v>
      </c>
      <c r="D368" s="8" t="s">
        <v>46</v>
      </c>
      <c r="E368" s="19" t="str">
        <f aca="false">장비_기본!F50</f>
        <v>필살기 충전</v>
      </c>
      <c r="F368" s="21" t="n">
        <f aca="false">장비_기본!G50*INDEX(등급!$C$5:$C$12,MATCH($D368,등급!$A$5:$A$12,0))</f>
        <v>0.105</v>
      </c>
      <c r="G368" s="13" t="s">
        <v>78</v>
      </c>
      <c r="H368" s="12"/>
      <c r="I368" s="13" t="s">
        <v>78</v>
      </c>
      <c r="J368" s="12"/>
      <c r="K368" s="19" t="n">
        <f aca="false">INDEX(등급!$D$5:$D$12,MATCH($D368,등급!$A$5:$A$12,0))</f>
        <v>2</v>
      </c>
      <c r="L368" s="19" t="str">
        <f aca="false">IF(INDEX(등급!$H$5:$H$12,MATCH($D368,등급!$A$5:$A$12,0))=0,"-",IF(INDEX(등급!$G$5:$G$12,MATCH($D368,등급!$A$5:$A$12,0))=INDEX(등급!$H$5:$H$12,MATCH($D368,등급!$A$5:$A$12,0)),INDEX(등급!$G$5:$G$12,MATCH($D368,등급!$A$5:$A$12,0))&amp;"칸",INDEX(등급!$G$5:$G$12,MATCH($D368,등급!$A$5:$A$12,0))&amp;"~"&amp;INDEX(등급!$H$5:$H$12,MATCH($D368,등급!$A$5:$A$12,0))&amp;"칸"))</f>
        <v>-</v>
      </c>
      <c r="M368" s="19" t="str">
        <f aca="false">IF(INDEX(등급!$J$5:$J$12,MATCH($D368,등급!$A$5:$A$12,0))=0,"-",IF(INDEX(등급!$I$5:$I$12,MATCH($D368,등급!$A$5:$A$12,0))=INDEX(등급!$J$5:$J$12,MATCH($D368,등급!$A$5:$A$12,0)),INDEX(등급!$I$5:$I$12,MATCH($D368,등급!$A$5:$A$12,0))&amp;"개",INDEX(등급!$I$5:$I$12,MATCH($D368,등급!$A$5:$A$12,0))&amp;"~"&amp;INDEX(등급!$J$5:$J$12,MATCH($D368,등급!$A$5:$A$12,0))&amp;"개"))</f>
        <v>-</v>
      </c>
      <c r="N368" s="19" t="str">
        <f aca="false">IF(INDEX(등급!$L$5:$L$12,MATCH($D368,등급!$A$5:$A$12,0))=0,"-",INDEX(등급!$K$5:$K$12,MATCH($D368,등급!$A$5:$A$12,0))&amp;"~"&amp;INDEX(등급!$L$5:$L$12,MATCH($D368,등급!$A$5:$A$12,0))&amp;"개")</f>
        <v>-</v>
      </c>
    </row>
    <row r="369" customFormat="false" ht="15" hidden="false" customHeight="false" outlineLevel="0" collapsed="false">
      <c r="A369" s="19" t="str">
        <f aca="false">장비_기본!B50</f>
        <v>영혼의 목걸이</v>
      </c>
      <c r="B369" s="19" t="str">
        <f aca="false">장비_기본!C50</f>
        <v>목걸이</v>
      </c>
      <c r="C369" s="19" t="str">
        <f aca="false">장비_기본!D50</f>
        <v>공통</v>
      </c>
      <c r="D369" s="8" t="s">
        <v>47</v>
      </c>
      <c r="E369" s="19" t="str">
        <f aca="false">장비_기본!F50</f>
        <v>필살기 충전</v>
      </c>
      <c r="F369" s="21" t="n">
        <f aca="false">장비_기본!G50*INDEX(등급!$C$5:$C$12,MATCH($D369,등급!$A$5:$A$12,0))</f>
        <v>0.1275</v>
      </c>
      <c r="G369" s="13" t="s">
        <v>78</v>
      </c>
      <c r="H369" s="12"/>
      <c r="I369" s="13" t="s">
        <v>78</v>
      </c>
      <c r="J369" s="12"/>
      <c r="K369" s="19" t="n">
        <f aca="false">INDEX(등급!$D$5:$D$12,MATCH($D369,등급!$A$5:$A$12,0))</f>
        <v>3</v>
      </c>
      <c r="L369" s="19" t="str">
        <f aca="false">IF(INDEX(등급!$H$5:$H$12,MATCH($D369,등급!$A$5:$A$12,0))=0,"-",IF(INDEX(등급!$G$5:$G$12,MATCH($D369,등급!$A$5:$A$12,0))=INDEX(등급!$H$5:$H$12,MATCH($D369,등급!$A$5:$A$12,0)),INDEX(등급!$G$5:$G$12,MATCH($D369,등급!$A$5:$A$12,0))&amp;"칸",INDEX(등급!$G$5:$G$12,MATCH($D369,등급!$A$5:$A$12,0))&amp;"~"&amp;INDEX(등급!$H$5:$H$12,MATCH($D369,등급!$A$5:$A$12,0))&amp;"칸"))</f>
        <v>-</v>
      </c>
      <c r="M369" s="19" t="str">
        <f aca="false">IF(INDEX(등급!$J$5:$J$12,MATCH($D369,등급!$A$5:$A$12,0))=0,"-",IF(INDEX(등급!$I$5:$I$12,MATCH($D369,등급!$A$5:$A$12,0))=INDEX(등급!$J$5:$J$12,MATCH($D369,등급!$A$5:$A$12,0)),INDEX(등급!$I$5:$I$12,MATCH($D369,등급!$A$5:$A$12,0))&amp;"개",INDEX(등급!$I$5:$I$12,MATCH($D369,등급!$A$5:$A$12,0))&amp;"~"&amp;INDEX(등급!$J$5:$J$12,MATCH($D369,등급!$A$5:$A$12,0))&amp;"개"))</f>
        <v>-</v>
      </c>
      <c r="N369" s="19" t="str">
        <f aca="false">IF(INDEX(등급!$L$5:$L$12,MATCH($D369,등급!$A$5:$A$12,0))=0,"-",INDEX(등급!$K$5:$K$12,MATCH($D369,등급!$A$5:$A$12,0))&amp;"~"&amp;INDEX(등급!$L$5:$L$12,MATCH($D369,등급!$A$5:$A$12,0))&amp;"개")</f>
        <v>-</v>
      </c>
    </row>
    <row r="370" customFormat="false" ht="15" hidden="false" customHeight="false" outlineLevel="0" collapsed="false">
      <c r="A370" s="19" t="str">
        <f aca="false">장비_기본!B50</f>
        <v>영혼의 목걸이</v>
      </c>
      <c r="B370" s="19" t="str">
        <f aca="false">장비_기본!C50</f>
        <v>목걸이</v>
      </c>
      <c r="C370" s="19" t="str">
        <f aca="false">장비_기본!D50</f>
        <v>공통</v>
      </c>
      <c r="D370" s="8" t="s">
        <v>48</v>
      </c>
      <c r="E370" s="19" t="str">
        <f aca="false">장비_기본!F50</f>
        <v>필살기 충전</v>
      </c>
      <c r="F370" s="21" t="n">
        <f aca="false">장비_기본!G50*INDEX(등급!$C$5:$C$12,MATCH($D370,등급!$A$5:$A$12,0))</f>
        <v>0.1525</v>
      </c>
      <c r="G370" s="13" t="s">
        <v>78</v>
      </c>
      <c r="H370" s="12"/>
      <c r="I370" s="13" t="s">
        <v>78</v>
      </c>
      <c r="J370" s="12"/>
      <c r="K370" s="19" t="n">
        <f aca="false">INDEX(등급!$D$5:$D$12,MATCH($D370,등급!$A$5:$A$12,0))</f>
        <v>4</v>
      </c>
      <c r="L370" s="19" t="str">
        <f aca="false">IF(INDEX(등급!$H$5:$H$12,MATCH($D370,등급!$A$5:$A$12,0))=0,"-",IF(INDEX(등급!$G$5:$G$12,MATCH($D370,등급!$A$5:$A$12,0))=INDEX(등급!$H$5:$H$12,MATCH($D370,등급!$A$5:$A$12,0)),INDEX(등급!$G$5:$G$12,MATCH($D370,등급!$A$5:$A$12,0))&amp;"칸",INDEX(등급!$G$5:$G$12,MATCH($D370,등급!$A$5:$A$12,0))&amp;"~"&amp;INDEX(등급!$H$5:$H$12,MATCH($D370,등급!$A$5:$A$12,0))&amp;"칸"))</f>
        <v>-</v>
      </c>
      <c r="M370" s="19" t="str">
        <f aca="false">IF(INDEX(등급!$J$5:$J$12,MATCH($D370,등급!$A$5:$A$12,0))=0,"-",IF(INDEX(등급!$I$5:$I$12,MATCH($D370,등급!$A$5:$A$12,0))=INDEX(등급!$J$5:$J$12,MATCH($D370,등급!$A$5:$A$12,0)),INDEX(등급!$I$5:$I$12,MATCH($D370,등급!$A$5:$A$12,0))&amp;"개",INDEX(등급!$I$5:$I$12,MATCH($D370,등급!$A$5:$A$12,0))&amp;"~"&amp;INDEX(등급!$J$5:$J$12,MATCH($D370,등급!$A$5:$A$12,0))&amp;"개"))</f>
        <v>-</v>
      </c>
      <c r="N370" s="19" t="str">
        <f aca="false">IF(INDEX(등급!$L$5:$L$12,MATCH($D370,등급!$A$5:$A$12,0))=0,"-",INDEX(등급!$K$5:$K$12,MATCH($D370,등급!$A$5:$A$12,0))&amp;"~"&amp;INDEX(등급!$L$5:$L$12,MATCH($D370,등급!$A$5:$A$12,0))&amp;"개")</f>
        <v>-</v>
      </c>
    </row>
    <row r="371" customFormat="false" ht="15" hidden="false" customHeight="false" outlineLevel="0" collapsed="false">
      <c r="A371" s="19" t="str">
        <f aca="false">장비_기본!B50</f>
        <v>영혼의 목걸이</v>
      </c>
      <c r="B371" s="19" t="str">
        <f aca="false">장비_기본!C50</f>
        <v>목걸이</v>
      </c>
      <c r="C371" s="19" t="str">
        <f aca="false">장비_기본!D50</f>
        <v>공통</v>
      </c>
      <c r="D371" s="8" t="s">
        <v>49</v>
      </c>
      <c r="E371" s="19" t="str">
        <f aca="false">장비_기본!F50</f>
        <v>필살기 충전</v>
      </c>
      <c r="F371" s="21" t="n">
        <f aca="false">장비_기본!G50*INDEX(등급!$C$5:$C$12,MATCH($D371,등급!$A$5:$A$12,0))</f>
        <v>0.16</v>
      </c>
      <c r="G371" s="13" t="s">
        <v>78</v>
      </c>
      <c r="H371" s="12"/>
      <c r="I371" s="13" t="s">
        <v>78</v>
      </c>
      <c r="J371" s="12"/>
      <c r="K371" s="19" t="n">
        <f aca="false">INDEX(등급!$D$5:$D$12,MATCH($D371,등급!$A$5:$A$12,0))</f>
        <v>4</v>
      </c>
      <c r="L371" s="19" t="str">
        <f aca="false">IF(INDEX(등급!$H$5:$H$12,MATCH($D371,등급!$A$5:$A$12,0))=0,"-",IF(INDEX(등급!$G$5:$G$12,MATCH($D371,등급!$A$5:$A$12,0))=INDEX(등급!$H$5:$H$12,MATCH($D371,등급!$A$5:$A$12,0)),INDEX(등급!$G$5:$G$12,MATCH($D371,등급!$A$5:$A$12,0))&amp;"칸",INDEX(등급!$G$5:$G$12,MATCH($D371,등급!$A$5:$A$12,0))&amp;"~"&amp;INDEX(등급!$H$5:$H$12,MATCH($D371,등급!$A$5:$A$12,0))&amp;"칸"))</f>
        <v>1칸</v>
      </c>
      <c r="M371" s="19" t="str">
        <f aca="false">IF(INDEX(등급!$J$5:$J$12,MATCH($D371,등급!$A$5:$A$12,0))=0,"-",IF(INDEX(등급!$I$5:$I$12,MATCH($D371,등급!$A$5:$A$12,0))=INDEX(등급!$J$5:$J$12,MATCH($D371,등급!$A$5:$A$12,0)),INDEX(등급!$I$5:$I$12,MATCH($D371,등급!$A$5:$A$12,0))&amp;"개",INDEX(등급!$I$5:$I$12,MATCH($D371,등급!$A$5:$A$12,0))&amp;"~"&amp;INDEX(등급!$J$5:$J$12,MATCH($D371,등급!$A$5:$A$12,0))&amp;"개"))</f>
        <v>0~1개</v>
      </c>
      <c r="N371" s="19" t="str">
        <f aca="false">IF(INDEX(등급!$L$5:$L$12,MATCH($D371,등급!$A$5:$A$12,0))=0,"-",INDEX(등급!$K$5:$K$12,MATCH($D371,등급!$A$5:$A$12,0))&amp;"~"&amp;INDEX(등급!$L$5:$L$12,MATCH($D371,등급!$A$5:$A$12,0))&amp;"개")</f>
        <v>0~1개</v>
      </c>
    </row>
    <row r="372" customFormat="false" ht="15" hidden="false" customHeight="false" outlineLevel="0" collapsed="false">
      <c r="A372" s="19" t="str">
        <f aca="false">장비_기본!B50</f>
        <v>영혼의 목걸이</v>
      </c>
      <c r="B372" s="19" t="str">
        <f aca="false">장비_기본!C50</f>
        <v>목걸이</v>
      </c>
      <c r="C372" s="19" t="str">
        <f aca="false">장비_기본!D50</f>
        <v>공통</v>
      </c>
      <c r="D372" s="8" t="s">
        <v>51</v>
      </c>
      <c r="E372" s="19" t="str">
        <f aca="false">장비_기본!F50</f>
        <v>필살기 충전</v>
      </c>
      <c r="F372" s="21" t="n">
        <f aca="false">장비_기본!G50*INDEX(등급!$C$5:$C$12,MATCH($D372,등급!$A$5:$A$12,0))</f>
        <v>0.165</v>
      </c>
      <c r="G372" s="13" t="s">
        <v>78</v>
      </c>
      <c r="H372" s="12"/>
      <c r="I372" s="13" t="s">
        <v>78</v>
      </c>
      <c r="J372" s="12"/>
      <c r="K372" s="19" t="n">
        <f aca="false">INDEX(등급!$D$5:$D$12,MATCH($D372,등급!$A$5:$A$12,0))</f>
        <v>4</v>
      </c>
      <c r="L372" s="19" t="str">
        <f aca="false">IF(INDEX(등급!$H$5:$H$12,MATCH($D372,등급!$A$5:$A$12,0))=0,"-",IF(INDEX(등급!$G$5:$G$12,MATCH($D372,등급!$A$5:$A$12,0))=INDEX(등급!$H$5:$H$12,MATCH($D372,등급!$A$5:$A$12,0)),INDEX(등급!$G$5:$G$12,MATCH($D372,등급!$A$5:$A$12,0))&amp;"칸",INDEX(등급!$G$5:$G$12,MATCH($D372,등급!$A$5:$A$12,0))&amp;"~"&amp;INDEX(등급!$H$5:$H$12,MATCH($D372,등급!$A$5:$A$12,0))&amp;"칸"))</f>
        <v>1~3칸</v>
      </c>
      <c r="M372" s="19" t="str">
        <f aca="false">IF(INDEX(등급!$J$5:$J$12,MATCH($D372,등급!$A$5:$A$12,0))=0,"-",IF(INDEX(등급!$I$5:$I$12,MATCH($D372,등급!$A$5:$A$12,0))=INDEX(등급!$J$5:$J$12,MATCH($D372,등급!$A$5:$A$12,0)),INDEX(등급!$I$5:$I$12,MATCH($D372,등급!$A$5:$A$12,0))&amp;"개",INDEX(등급!$I$5:$I$12,MATCH($D372,등급!$A$5:$A$12,0))&amp;"~"&amp;INDEX(등급!$J$5:$J$12,MATCH($D372,등급!$A$5:$A$12,0))&amp;"개"))</f>
        <v>1개</v>
      </c>
      <c r="N372" s="19" t="str">
        <f aca="false">IF(INDEX(등급!$L$5:$L$12,MATCH($D372,등급!$A$5:$A$12,0))=0,"-",INDEX(등급!$K$5:$K$12,MATCH($D372,등급!$A$5:$A$12,0))&amp;"~"&amp;INDEX(등급!$L$5:$L$12,MATCH($D372,등급!$A$5:$A$12,0))&amp;"개")</f>
        <v>0~2개</v>
      </c>
    </row>
    <row r="373" customFormat="false" ht="15" hidden="false" customHeight="false" outlineLevel="0" collapsed="false">
      <c r="A373" s="19" t="str">
        <f aca="false">장비_기본!B51</f>
        <v>거인의 벨트</v>
      </c>
      <c r="B373" s="19" t="str">
        <f aca="false">장비_기본!C51</f>
        <v>벨트</v>
      </c>
      <c r="C373" s="19" t="str">
        <f aca="false">장비_기본!D51</f>
        <v>공통</v>
      </c>
      <c r="D373" s="8" t="s">
        <v>43</v>
      </c>
      <c r="E373" s="19" t="str">
        <f aca="false">장비_기본!F51</f>
        <v>체력%</v>
      </c>
      <c r="F373" s="21" t="n">
        <f aca="false">장비_기본!G51*INDEX(등급!$C$5:$C$12,MATCH($D373,등급!$A$5:$A$12,0))</f>
        <v>0.035</v>
      </c>
      <c r="G373" s="13" t="s">
        <v>78</v>
      </c>
      <c r="H373" s="12"/>
      <c r="I373" s="13" t="s">
        <v>78</v>
      </c>
      <c r="J373" s="12"/>
      <c r="K373" s="19" t="n">
        <f aca="false">INDEX(등급!$D$5:$D$12,MATCH($D373,등급!$A$5:$A$12,0))</f>
        <v>0</v>
      </c>
      <c r="L373" s="19" t="str">
        <f aca="false">IF(INDEX(등급!$H$5:$H$12,MATCH($D373,등급!$A$5:$A$12,0))=0,"-",IF(INDEX(등급!$G$5:$G$12,MATCH($D373,등급!$A$5:$A$12,0))=INDEX(등급!$H$5:$H$12,MATCH($D373,등급!$A$5:$A$12,0)),INDEX(등급!$G$5:$G$12,MATCH($D373,등급!$A$5:$A$12,0))&amp;"칸",INDEX(등급!$G$5:$G$12,MATCH($D373,등급!$A$5:$A$12,0))&amp;"~"&amp;INDEX(등급!$H$5:$H$12,MATCH($D373,등급!$A$5:$A$12,0))&amp;"칸"))</f>
        <v>-</v>
      </c>
      <c r="M373" s="19" t="str">
        <f aca="false">IF(INDEX(등급!$J$5:$J$12,MATCH($D373,등급!$A$5:$A$12,0))=0,"-",IF(INDEX(등급!$I$5:$I$12,MATCH($D373,등급!$A$5:$A$12,0))=INDEX(등급!$J$5:$J$12,MATCH($D373,등급!$A$5:$A$12,0)),INDEX(등급!$I$5:$I$12,MATCH($D373,등급!$A$5:$A$12,0))&amp;"개",INDEX(등급!$I$5:$I$12,MATCH($D373,등급!$A$5:$A$12,0))&amp;"~"&amp;INDEX(등급!$J$5:$J$12,MATCH($D373,등급!$A$5:$A$12,0))&amp;"개"))</f>
        <v>-</v>
      </c>
      <c r="N373" s="19" t="str">
        <f aca="false">IF(INDEX(등급!$L$5:$L$12,MATCH($D373,등급!$A$5:$A$12,0))=0,"-",INDEX(등급!$K$5:$K$12,MATCH($D373,등급!$A$5:$A$12,0))&amp;"~"&amp;INDEX(등급!$L$5:$L$12,MATCH($D373,등급!$A$5:$A$12,0))&amp;"개")</f>
        <v>-</v>
      </c>
    </row>
    <row r="374" customFormat="false" ht="15" hidden="false" customHeight="false" outlineLevel="0" collapsed="false">
      <c r="A374" s="19" t="str">
        <f aca="false">장비_기본!B51</f>
        <v>거인의 벨트</v>
      </c>
      <c r="B374" s="19" t="str">
        <f aca="false">장비_기본!C51</f>
        <v>벨트</v>
      </c>
      <c r="C374" s="19" t="str">
        <f aca="false">장비_기본!D51</f>
        <v>공통</v>
      </c>
      <c r="D374" s="8" t="s">
        <v>44</v>
      </c>
      <c r="E374" s="19" t="str">
        <f aca="false">장비_기본!F51</f>
        <v>체력%</v>
      </c>
      <c r="F374" s="21" t="n">
        <f aca="false">장비_기본!G51*INDEX(등급!$C$5:$C$12,MATCH($D374,등급!$A$5:$A$12,0))</f>
        <v>0.05075</v>
      </c>
      <c r="G374" s="13" t="s">
        <v>78</v>
      </c>
      <c r="H374" s="12"/>
      <c r="I374" s="13" t="s">
        <v>78</v>
      </c>
      <c r="J374" s="12"/>
      <c r="K374" s="19" t="n">
        <f aca="false">INDEX(등급!$D$5:$D$12,MATCH($D374,등급!$A$5:$A$12,0))</f>
        <v>0</v>
      </c>
      <c r="L374" s="19" t="str">
        <f aca="false">IF(INDEX(등급!$H$5:$H$12,MATCH($D374,등급!$A$5:$A$12,0))=0,"-",IF(INDEX(등급!$G$5:$G$12,MATCH($D374,등급!$A$5:$A$12,0))=INDEX(등급!$H$5:$H$12,MATCH($D374,등급!$A$5:$A$12,0)),INDEX(등급!$G$5:$G$12,MATCH($D374,등급!$A$5:$A$12,0))&amp;"칸",INDEX(등급!$G$5:$G$12,MATCH($D374,등급!$A$5:$A$12,0))&amp;"~"&amp;INDEX(등급!$H$5:$H$12,MATCH($D374,등급!$A$5:$A$12,0))&amp;"칸"))</f>
        <v>-</v>
      </c>
      <c r="M374" s="19" t="str">
        <f aca="false">IF(INDEX(등급!$J$5:$J$12,MATCH($D374,등급!$A$5:$A$12,0))=0,"-",IF(INDEX(등급!$I$5:$I$12,MATCH($D374,등급!$A$5:$A$12,0))=INDEX(등급!$J$5:$J$12,MATCH($D374,등급!$A$5:$A$12,0)),INDEX(등급!$I$5:$I$12,MATCH($D374,등급!$A$5:$A$12,0))&amp;"개",INDEX(등급!$I$5:$I$12,MATCH($D374,등급!$A$5:$A$12,0))&amp;"~"&amp;INDEX(등급!$J$5:$J$12,MATCH($D374,등급!$A$5:$A$12,0))&amp;"개"))</f>
        <v>-</v>
      </c>
      <c r="N374" s="19" t="str">
        <f aca="false">IF(INDEX(등급!$L$5:$L$12,MATCH($D374,등급!$A$5:$A$12,0))=0,"-",INDEX(등급!$K$5:$K$12,MATCH($D374,등급!$A$5:$A$12,0))&amp;"~"&amp;INDEX(등급!$L$5:$L$12,MATCH($D374,등급!$A$5:$A$12,0))&amp;"개")</f>
        <v>-</v>
      </c>
    </row>
    <row r="375" customFormat="false" ht="15" hidden="false" customHeight="false" outlineLevel="0" collapsed="false">
      <c r="A375" s="19" t="str">
        <f aca="false">장비_기본!B51</f>
        <v>거인의 벨트</v>
      </c>
      <c r="B375" s="19" t="str">
        <f aca="false">장비_기본!C51</f>
        <v>벨트</v>
      </c>
      <c r="C375" s="19" t="str">
        <f aca="false">장비_기본!D51</f>
        <v>공통</v>
      </c>
      <c r="D375" s="8" t="s">
        <v>45</v>
      </c>
      <c r="E375" s="19" t="str">
        <f aca="false">장비_기본!F51</f>
        <v>체력%</v>
      </c>
      <c r="F375" s="21" t="n">
        <f aca="false">장비_기본!G51*INDEX(등급!$C$5:$C$12,MATCH($D375,등급!$A$5:$A$12,0))</f>
        <v>0.0595</v>
      </c>
      <c r="G375" s="13" t="s">
        <v>78</v>
      </c>
      <c r="H375" s="12"/>
      <c r="I375" s="13" t="s">
        <v>78</v>
      </c>
      <c r="J375" s="12"/>
      <c r="K375" s="19" t="n">
        <f aca="false">INDEX(등급!$D$5:$D$12,MATCH($D375,등급!$A$5:$A$12,0))</f>
        <v>1</v>
      </c>
      <c r="L375" s="19" t="str">
        <f aca="false">IF(INDEX(등급!$H$5:$H$12,MATCH($D375,등급!$A$5:$A$12,0))=0,"-",IF(INDEX(등급!$G$5:$G$12,MATCH($D375,등급!$A$5:$A$12,0))=INDEX(등급!$H$5:$H$12,MATCH($D375,등급!$A$5:$A$12,0)),INDEX(등급!$G$5:$G$12,MATCH($D375,등급!$A$5:$A$12,0))&amp;"칸",INDEX(등급!$G$5:$G$12,MATCH($D375,등급!$A$5:$A$12,0))&amp;"~"&amp;INDEX(등급!$H$5:$H$12,MATCH($D375,등급!$A$5:$A$12,0))&amp;"칸"))</f>
        <v>-</v>
      </c>
      <c r="M375" s="19" t="str">
        <f aca="false">IF(INDEX(등급!$J$5:$J$12,MATCH($D375,등급!$A$5:$A$12,0))=0,"-",IF(INDEX(등급!$I$5:$I$12,MATCH($D375,등급!$A$5:$A$12,0))=INDEX(등급!$J$5:$J$12,MATCH($D375,등급!$A$5:$A$12,0)),INDEX(등급!$I$5:$I$12,MATCH($D375,등급!$A$5:$A$12,0))&amp;"개",INDEX(등급!$I$5:$I$12,MATCH($D375,등급!$A$5:$A$12,0))&amp;"~"&amp;INDEX(등급!$J$5:$J$12,MATCH($D375,등급!$A$5:$A$12,0))&amp;"개"))</f>
        <v>-</v>
      </c>
      <c r="N375" s="19" t="str">
        <f aca="false">IF(INDEX(등급!$L$5:$L$12,MATCH($D375,등급!$A$5:$A$12,0))=0,"-",INDEX(등급!$K$5:$K$12,MATCH($D375,등급!$A$5:$A$12,0))&amp;"~"&amp;INDEX(등급!$L$5:$L$12,MATCH($D375,등급!$A$5:$A$12,0))&amp;"개")</f>
        <v>-</v>
      </c>
    </row>
    <row r="376" customFormat="false" ht="15" hidden="false" customHeight="false" outlineLevel="0" collapsed="false">
      <c r="A376" s="19" t="str">
        <f aca="false">장비_기본!B51</f>
        <v>거인의 벨트</v>
      </c>
      <c r="B376" s="19" t="str">
        <f aca="false">장비_기본!C51</f>
        <v>벨트</v>
      </c>
      <c r="C376" s="19" t="str">
        <f aca="false">장비_기본!D51</f>
        <v>공통</v>
      </c>
      <c r="D376" s="8" t="s">
        <v>46</v>
      </c>
      <c r="E376" s="19" t="str">
        <f aca="false">장비_기본!F51</f>
        <v>체력%</v>
      </c>
      <c r="F376" s="21" t="n">
        <f aca="false">장비_기본!G51*INDEX(등급!$C$5:$C$12,MATCH($D376,등급!$A$5:$A$12,0))</f>
        <v>0.0735</v>
      </c>
      <c r="G376" s="13" t="s">
        <v>78</v>
      </c>
      <c r="H376" s="12"/>
      <c r="I376" s="13" t="s">
        <v>78</v>
      </c>
      <c r="J376" s="12"/>
      <c r="K376" s="19" t="n">
        <f aca="false">INDEX(등급!$D$5:$D$12,MATCH($D376,등급!$A$5:$A$12,0))</f>
        <v>2</v>
      </c>
      <c r="L376" s="19" t="str">
        <f aca="false">IF(INDEX(등급!$H$5:$H$12,MATCH($D376,등급!$A$5:$A$12,0))=0,"-",IF(INDEX(등급!$G$5:$G$12,MATCH($D376,등급!$A$5:$A$12,0))=INDEX(등급!$H$5:$H$12,MATCH($D376,등급!$A$5:$A$12,0)),INDEX(등급!$G$5:$G$12,MATCH($D376,등급!$A$5:$A$12,0))&amp;"칸",INDEX(등급!$G$5:$G$12,MATCH($D376,등급!$A$5:$A$12,0))&amp;"~"&amp;INDEX(등급!$H$5:$H$12,MATCH($D376,등급!$A$5:$A$12,0))&amp;"칸"))</f>
        <v>-</v>
      </c>
      <c r="M376" s="19" t="str">
        <f aca="false">IF(INDEX(등급!$J$5:$J$12,MATCH($D376,등급!$A$5:$A$12,0))=0,"-",IF(INDEX(등급!$I$5:$I$12,MATCH($D376,등급!$A$5:$A$12,0))=INDEX(등급!$J$5:$J$12,MATCH($D376,등급!$A$5:$A$12,0)),INDEX(등급!$I$5:$I$12,MATCH($D376,등급!$A$5:$A$12,0))&amp;"개",INDEX(등급!$I$5:$I$12,MATCH($D376,등급!$A$5:$A$12,0))&amp;"~"&amp;INDEX(등급!$J$5:$J$12,MATCH($D376,등급!$A$5:$A$12,0))&amp;"개"))</f>
        <v>-</v>
      </c>
      <c r="N376" s="19" t="str">
        <f aca="false">IF(INDEX(등급!$L$5:$L$12,MATCH($D376,등급!$A$5:$A$12,0))=0,"-",INDEX(등급!$K$5:$K$12,MATCH($D376,등급!$A$5:$A$12,0))&amp;"~"&amp;INDEX(등급!$L$5:$L$12,MATCH($D376,등급!$A$5:$A$12,0))&amp;"개")</f>
        <v>-</v>
      </c>
    </row>
    <row r="377" customFormat="false" ht="15" hidden="false" customHeight="false" outlineLevel="0" collapsed="false">
      <c r="A377" s="19" t="str">
        <f aca="false">장비_기본!B51</f>
        <v>거인의 벨트</v>
      </c>
      <c r="B377" s="19" t="str">
        <f aca="false">장비_기본!C51</f>
        <v>벨트</v>
      </c>
      <c r="C377" s="19" t="str">
        <f aca="false">장비_기본!D51</f>
        <v>공통</v>
      </c>
      <c r="D377" s="8" t="s">
        <v>47</v>
      </c>
      <c r="E377" s="19" t="str">
        <f aca="false">장비_기본!F51</f>
        <v>체력%</v>
      </c>
      <c r="F377" s="21" t="n">
        <f aca="false">장비_기본!G51*INDEX(등급!$C$5:$C$12,MATCH($D377,등급!$A$5:$A$12,0))</f>
        <v>0.08925</v>
      </c>
      <c r="G377" s="13" t="s">
        <v>78</v>
      </c>
      <c r="H377" s="12"/>
      <c r="I377" s="13" t="s">
        <v>78</v>
      </c>
      <c r="J377" s="12"/>
      <c r="K377" s="19" t="n">
        <f aca="false">INDEX(등급!$D$5:$D$12,MATCH($D377,등급!$A$5:$A$12,0))</f>
        <v>3</v>
      </c>
      <c r="L377" s="19" t="str">
        <f aca="false">IF(INDEX(등급!$H$5:$H$12,MATCH($D377,등급!$A$5:$A$12,0))=0,"-",IF(INDEX(등급!$G$5:$G$12,MATCH($D377,등급!$A$5:$A$12,0))=INDEX(등급!$H$5:$H$12,MATCH($D377,등급!$A$5:$A$12,0)),INDEX(등급!$G$5:$G$12,MATCH($D377,등급!$A$5:$A$12,0))&amp;"칸",INDEX(등급!$G$5:$G$12,MATCH($D377,등급!$A$5:$A$12,0))&amp;"~"&amp;INDEX(등급!$H$5:$H$12,MATCH($D377,등급!$A$5:$A$12,0))&amp;"칸"))</f>
        <v>-</v>
      </c>
      <c r="M377" s="19" t="str">
        <f aca="false">IF(INDEX(등급!$J$5:$J$12,MATCH($D377,등급!$A$5:$A$12,0))=0,"-",IF(INDEX(등급!$I$5:$I$12,MATCH($D377,등급!$A$5:$A$12,0))=INDEX(등급!$J$5:$J$12,MATCH($D377,등급!$A$5:$A$12,0)),INDEX(등급!$I$5:$I$12,MATCH($D377,등급!$A$5:$A$12,0))&amp;"개",INDEX(등급!$I$5:$I$12,MATCH($D377,등급!$A$5:$A$12,0))&amp;"~"&amp;INDEX(등급!$J$5:$J$12,MATCH($D377,등급!$A$5:$A$12,0))&amp;"개"))</f>
        <v>-</v>
      </c>
      <c r="N377" s="19" t="str">
        <f aca="false">IF(INDEX(등급!$L$5:$L$12,MATCH($D377,등급!$A$5:$A$12,0))=0,"-",INDEX(등급!$K$5:$K$12,MATCH($D377,등급!$A$5:$A$12,0))&amp;"~"&amp;INDEX(등급!$L$5:$L$12,MATCH($D377,등급!$A$5:$A$12,0))&amp;"개")</f>
        <v>-</v>
      </c>
    </row>
    <row r="378" customFormat="false" ht="15" hidden="false" customHeight="false" outlineLevel="0" collapsed="false">
      <c r="A378" s="19" t="str">
        <f aca="false">장비_기본!B51</f>
        <v>거인의 벨트</v>
      </c>
      <c r="B378" s="19" t="str">
        <f aca="false">장비_기본!C51</f>
        <v>벨트</v>
      </c>
      <c r="C378" s="19" t="str">
        <f aca="false">장비_기본!D51</f>
        <v>공통</v>
      </c>
      <c r="D378" s="8" t="s">
        <v>48</v>
      </c>
      <c r="E378" s="19" t="str">
        <f aca="false">장비_기본!F51</f>
        <v>체력%</v>
      </c>
      <c r="F378" s="21" t="n">
        <f aca="false">장비_기본!G51*INDEX(등급!$C$5:$C$12,MATCH($D378,등급!$A$5:$A$12,0))</f>
        <v>0.10675</v>
      </c>
      <c r="G378" s="13" t="s">
        <v>78</v>
      </c>
      <c r="H378" s="12"/>
      <c r="I378" s="13" t="s">
        <v>78</v>
      </c>
      <c r="J378" s="12"/>
      <c r="K378" s="19" t="n">
        <f aca="false">INDEX(등급!$D$5:$D$12,MATCH($D378,등급!$A$5:$A$12,0))</f>
        <v>4</v>
      </c>
      <c r="L378" s="19" t="str">
        <f aca="false">IF(INDEX(등급!$H$5:$H$12,MATCH($D378,등급!$A$5:$A$12,0))=0,"-",IF(INDEX(등급!$G$5:$G$12,MATCH($D378,등급!$A$5:$A$12,0))=INDEX(등급!$H$5:$H$12,MATCH($D378,등급!$A$5:$A$12,0)),INDEX(등급!$G$5:$G$12,MATCH($D378,등급!$A$5:$A$12,0))&amp;"칸",INDEX(등급!$G$5:$G$12,MATCH($D378,등급!$A$5:$A$12,0))&amp;"~"&amp;INDEX(등급!$H$5:$H$12,MATCH($D378,등급!$A$5:$A$12,0))&amp;"칸"))</f>
        <v>-</v>
      </c>
      <c r="M378" s="19" t="str">
        <f aca="false">IF(INDEX(등급!$J$5:$J$12,MATCH($D378,등급!$A$5:$A$12,0))=0,"-",IF(INDEX(등급!$I$5:$I$12,MATCH($D378,등급!$A$5:$A$12,0))=INDEX(등급!$J$5:$J$12,MATCH($D378,등급!$A$5:$A$12,0)),INDEX(등급!$I$5:$I$12,MATCH($D378,등급!$A$5:$A$12,0))&amp;"개",INDEX(등급!$I$5:$I$12,MATCH($D378,등급!$A$5:$A$12,0))&amp;"~"&amp;INDEX(등급!$J$5:$J$12,MATCH($D378,등급!$A$5:$A$12,0))&amp;"개"))</f>
        <v>-</v>
      </c>
      <c r="N378" s="19" t="str">
        <f aca="false">IF(INDEX(등급!$L$5:$L$12,MATCH($D378,등급!$A$5:$A$12,0))=0,"-",INDEX(등급!$K$5:$K$12,MATCH($D378,등급!$A$5:$A$12,0))&amp;"~"&amp;INDEX(등급!$L$5:$L$12,MATCH($D378,등급!$A$5:$A$12,0))&amp;"개")</f>
        <v>-</v>
      </c>
    </row>
    <row r="379" customFormat="false" ht="15" hidden="false" customHeight="false" outlineLevel="0" collapsed="false">
      <c r="A379" s="19" t="str">
        <f aca="false">장비_기본!B51</f>
        <v>거인의 벨트</v>
      </c>
      <c r="B379" s="19" t="str">
        <f aca="false">장비_기본!C51</f>
        <v>벨트</v>
      </c>
      <c r="C379" s="19" t="str">
        <f aca="false">장비_기본!D51</f>
        <v>공통</v>
      </c>
      <c r="D379" s="8" t="s">
        <v>49</v>
      </c>
      <c r="E379" s="19" t="str">
        <f aca="false">장비_기본!F51</f>
        <v>체력%</v>
      </c>
      <c r="F379" s="21" t="n">
        <f aca="false">장비_기본!G51*INDEX(등급!$C$5:$C$12,MATCH($D379,등급!$A$5:$A$12,0))</f>
        <v>0.112</v>
      </c>
      <c r="G379" s="13" t="s">
        <v>78</v>
      </c>
      <c r="H379" s="12"/>
      <c r="I379" s="13" t="s">
        <v>78</v>
      </c>
      <c r="J379" s="12"/>
      <c r="K379" s="19" t="n">
        <f aca="false">INDEX(등급!$D$5:$D$12,MATCH($D379,등급!$A$5:$A$12,0))</f>
        <v>4</v>
      </c>
      <c r="L379" s="19" t="str">
        <f aca="false">IF(INDEX(등급!$H$5:$H$12,MATCH($D379,등급!$A$5:$A$12,0))=0,"-",IF(INDEX(등급!$G$5:$G$12,MATCH($D379,등급!$A$5:$A$12,0))=INDEX(등급!$H$5:$H$12,MATCH($D379,등급!$A$5:$A$12,0)),INDEX(등급!$G$5:$G$12,MATCH($D379,등급!$A$5:$A$12,0))&amp;"칸",INDEX(등급!$G$5:$G$12,MATCH($D379,등급!$A$5:$A$12,0))&amp;"~"&amp;INDEX(등급!$H$5:$H$12,MATCH($D379,등급!$A$5:$A$12,0))&amp;"칸"))</f>
        <v>1칸</v>
      </c>
      <c r="M379" s="19" t="str">
        <f aca="false">IF(INDEX(등급!$J$5:$J$12,MATCH($D379,등급!$A$5:$A$12,0))=0,"-",IF(INDEX(등급!$I$5:$I$12,MATCH($D379,등급!$A$5:$A$12,0))=INDEX(등급!$J$5:$J$12,MATCH($D379,등급!$A$5:$A$12,0)),INDEX(등급!$I$5:$I$12,MATCH($D379,등급!$A$5:$A$12,0))&amp;"개",INDEX(등급!$I$5:$I$12,MATCH($D379,등급!$A$5:$A$12,0))&amp;"~"&amp;INDEX(등급!$J$5:$J$12,MATCH($D379,등급!$A$5:$A$12,0))&amp;"개"))</f>
        <v>0~1개</v>
      </c>
      <c r="N379" s="19" t="str">
        <f aca="false">IF(INDEX(등급!$L$5:$L$12,MATCH($D379,등급!$A$5:$A$12,0))=0,"-",INDEX(등급!$K$5:$K$12,MATCH($D379,등급!$A$5:$A$12,0))&amp;"~"&amp;INDEX(등급!$L$5:$L$12,MATCH($D379,등급!$A$5:$A$12,0))&amp;"개")</f>
        <v>0~1개</v>
      </c>
    </row>
    <row r="380" customFormat="false" ht="15" hidden="false" customHeight="false" outlineLevel="0" collapsed="false">
      <c r="A380" s="19" t="str">
        <f aca="false">장비_기본!B51</f>
        <v>거인의 벨트</v>
      </c>
      <c r="B380" s="19" t="str">
        <f aca="false">장비_기본!C51</f>
        <v>벨트</v>
      </c>
      <c r="C380" s="19" t="str">
        <f aca="false">장비_기본!D51</f>
        <v>공통</v>
      </c>
      <c r="D380" s="8" t="s">
        <v>51</v>
      </c>
      <c r="E380" s="19" t="str">
        <f aca="false">장비_기본!F51</f>
        <v>체력%</v>
      </c>
      <c r="F380" s="21" t="n">
        <f aca="false">장비_기본!G51*INDEX(등급!$C$5:$C$12,MATCH($D380,등급!$A$5:$A$12,0))</f>
        <v>0.1155</v>
      </c>
      <c r="G380" s="13" t="s">
        <v>78</v>
      </c>
      <c r="H380" s="12"/>
      <c r="I380" s="13" t="s">
        <v>78</v>
      </c>
      <c r="J380" s="12"/>
      <c r="K380" s="19" t="n">
        <f aca="false">INDEX(등급!$D$5:$D$12,MATCH($D380,등급!$A$5:$A$12,0))</f>
        <v>4</v>
      </c>
      <c r="L380" s="19" t="str">
        <f aca="false">IF(INDEX(등급!$H$5:$H$12,MATCH($D380,등급!$A$5:$A$12,0))=0,"-",IF(INDEX(등급!$G$5:$G$12,MATCH($D380,등급!$A$5:$A$12,0))=INDEX(등급!$H$5:$H$12,MATCH($D380,등급!$A$5:$A$12,0)),INDEX(등급!$G$5:$G$12,MATCH($D380,등급!$A$5:$A$12,0))&amp;"칸",INDEX(등급!$G$5:$G$12,MATCH($D380,등급!$A$5:$A$12,0))&amp;"~"&amp;INDEX(등급!$H$5:$H$12,MATCH($D380,등급!$A$5:$A$12,0))&amp;"칸"))</f>
        <v>1~3칸</v>
      </c>
      <c r="M380" s="19" t="str">
        <f aca="false">IF(INDEX(등급!$J$5:$J$12,MATCH($D380,등급!$A$5:$A$12,0))=0,"-",IF(INDEX(등급!$I$5:$I$12,MATCH($D380,등급!$A$5:$A$12,0))=INDEX(등급!$J$5:$J$12,MATCH($D380,등급!$A$5:$A$12,0)),INDEX(등급!$I$5:$I$12,MATCH($D380,등급!$A$5:$A$12,0))&amp;"개",INDEX(등급!$I$5:$I$12,MATCH($D380,등급!$A$5:$A$12,0))&amp;"~"&amp;INDEX(등급!$J$5:$J$12,MATCH($D380,등급!$A$5:$A$12,0))&amp;"개"))</f>
        <v>1개</v>
      </c>
      <c r="N380" s="19" t="str">
        <f aca="false">IF(INDEX(등급!$L$5:$L$12,MATCH($D380,등급!$A$5:$A$12,0))=0,"-",INDEX(등급!$K$5:$K$12,MATCH($D380,등급!$A$5:$A$12,0))&amp;"~"&amp;INDEX(등급!$L$5:$L$12,MATCH($D380,등급!$A$5:$A$12,0))&amp;"개")</f>
        <v>0~2개</v>
      </c>
    </row>
    <row r="381" customFormat="false" ht="15" hidden="false" customHeight="false" outlineLevel="0" collapsed="false">
      <c r="A381" s="19" t="str">
        <f aca="false">장비_기본!B52</f>
        <v>수호의 벨트</v>
      </c>
      <c r="B381" s="19" t="str">
        <f aca="false">장비_기본!C52</f>
        <v>벨트</v>
      </c>
      <c r="C381" s="19" t="str">
        <f aca="false">장비_기본!D52</f>
        <v>공통</v>
      </c>
      <c r="D381" s="8" t="s">
        <v>43</v>
      </c>
      <c r="E381" s="19" t="str">
        <f aca="false">장비_기본!F52</f>
        <v>받는 피해 감소</v>
      </c>
      <c r="F381" s="21" t="n">
        <f aca="false">장비_기본!G52*INDEX(등급!$C$5:$C$12,MATCH($D381,등급!$A$5:$A$12,0))</f>
        <v>0.015</v>
      </c>
      <c r="G381" s="13" t="s">
        <v>78</v>
      </c>
      <c r="H381" s="12"/>
      <c r="I381" s="13" t="s">
        <v>78</v>
      </c>
      <c r="J381" s="12"/>
      <c r="K381" s="19" t="n">
        <f aca="false">INDEX(등급!$D$5:$D$12,MATCH($D381,등급!$A$5:$A$12,0))</f>
        <v>0</v>
      </c>
      <c r="L381" s="19" t="str">
        <f aca="false">IF(INDEX(등급!$H$5:$H$12,MATCH($D381,등급!$A$5:$A$12,0))=0,"-",IF(INDEX(등급!$G$5:$G$12,MATCH($D381,등급!$A$5:$A$12,0))=INDEX(등급!$H$5:$H$12,MATCH($D381,등급!$A$5:$A$12,0)),INDEX(등급!$G$5:$G$12,MATCH($D381,등급!$A$5:$A$12,0))&amp;"칸",INDEX(등급!$G$5:$G$12,MATCH($D381,등급!$A$5:$A$12,0))&amp;"~"&amp;INDEX(등급!$H$5:$H$12,MATCH($D381,등급!$A$5:$A$12,0))&amp;"칸"))</f>
        <v>-</v>
      </c>
      <c r="M381" s="19" t="str">
        <f aca="false">IF(INDEX(등급!$J$5:$J$12,MATCH($D381,등급!$A$5:$A$12,0))=0,"-",IF(INDEX(등급!$I$5:$I$12,MATCH($D381,등급!$A$5:$A$12,0))=INDEX(등급!$J$5:$J$12,MATCH($D381,등급!$A$5:$A$12,0)),INDEX(등급!$I$5:$I$12,MATCH($D381,등급!$A$5:$A$12,0))&amp;"개",INDEX(등급!$I$5:$I$12,MATCH($D381,등급!$A$5:$A$12,0))&amp;"~"&amp;INDEX(등급!$J$5:$J$12,MATCH($D381,등급!$A$5:$A$12,0))&amp;"개"))</f>
        <v>-</v>
      </c>
      <c r="N381" s="19" t="str">
        <f aca="false">IF(INDEX(등급!$L$5:$L$12,MATCH($D381,등급!$A$5:$A$12,0))=0,"-",INDEX(등급!$K$5:$K$12,MATCH($D381,등급!$A$5:$A$12,0))&amp;"~"&amp;INDEX(등급!$L$5:$L$12,MATCH($D381,등급!$A$5:$A$12,0))&amp;"개")</f>
        <v>-</v>
      </c>
    </row>
    <row r="382" customFormat="false" ht="15" hidden="false" customHeight="false" outlineLevel="0" collapsed="false">
      <c r="A382" s="19" t="str">
        <f aca="false">장비_기본!B52</f>
        <v>수호의 벨트</v>
      </c>
      <c r="B382" s="19" t="str">
        <f aca="false">장비_기본!C52</f>
        <v>벨트</v>
      </c>
      <c r="C382" s="19" t="str">
        <f aca="false">장비_기본!D52</f>
        <v>공통</v>
      </c>
      <c r="D382" s="8" t="s">
        <v>44</v>
      </c>
      <c r="E382" s="19" t="str">
        <f aca="false">장비_기본!F52</f>
        <v>받는 피해 감소</v>
      </c>
      <c r="F382" s="21" t="n">
        <f aca="false">장비_기본!G52*INDEX(등급!$C$5:$C$12,MATCH($D382,등급!$A$5:$A$12,0))</f>
        <v>0.02175</v>
      </c>
      <c r="G382" s="13" t="s">
        <v>78</v>
      </c>
      <c r="H382" s="12"/>
      <c r="I382" s="13" t="s">
        <v>78</v>
      </c>
      <c r="J382" s="12"/>
      <c r="K382" s="19" t="n">
        <f aca="false">INDEX(등급!$D$5:$D$12,MATCH($D382,등급!$A$5:$A$12,0))</f>
        <v>0</v>
      </c>
      <c r="L382" s="19" t="str">
        <f aca="false">IF(INDEX(등급!$H$5:$H$12,MATCH($D382,등급!$A$5:$A$12,0))=0,"-",IF(INDEX(등급!$G$5:$G$12,MATCH($D382,등급!$A$5:$A$12,0))=INDEX(등급!$H$5:$H$12,MATCH($D382,등급!$A$5:$A$12,0)),INDEX(등급!$G$5:$G$12,MATCH($D382,등급!$A$5:$A$12,0))&amp;"칸",INDEX(등급!$G$5:$G$12,MATCH($D382,등급!$A$5:$A$12,0))&amp;"~"&amp;INDEX(등급!$H$5:$H$12,MATCH($D382,등급!$A$5:$A$12,0))&amp;"칸"))</f>
        <v>-</v>
      </c>
      <c r="M382" s="19" t="str">
        <f aca="false">IF(INDEX(등급!$J$5:$J$12,MATCH($D382,등급!$A$5:$A$12,0))=0,"-",IF(INDEX(등급!$I$5:$I$12,MATCH($D382,등급!$A$5:$A$12,0))=INDEX(등급!$J$5:$J$12,MATCH($D382,등급!$A$5:$A$12,0)),INDEX(등급!$I$5:$I$12,MATCH($D382,등급!$A$5:$A$12,0))&amp;"개",INDEX(등급!$I$5:$I$12,MATCH($D382,등급!$A$5:$A$12,0))&amp;"~"&amp;INDEX(등급!$J$5:$J$12,MATCH($D382,등급!$A$5:$A$12,0))&amp;"개"))</f>
        <v>-</v>
      </c>
      <c r="N382" s="19" t="str">
        <f aca="false">IF(INDEX(등급!$L$5:$L$12,MATCH($D382,등급!$A$5:$A$12,0))=0,"-",INDEX(등급!$K$5:$K$12,MATCH($D382,등급!$A$5:$A$12,0))&amp;"~"&amp;INDEX(등급!$L$5:$L$12,MATCH($D382,등급!$A$5:$A$12,0))&amp;"개")</f>
        <v>-</v>
      </c>
    </row>
    <row r="383" customFormat="false" ht="15" hidden="false" customHeight="false" outlineLevel="0" collapsed="false">
      <c r="A383" s="19" t="str">
        <f aca="false">장비_기본!B52</f>
        <v>수호의 벨트</v>
      </c>
      <c r="B383" s="19" t="str">
        <f aca="false">장비_기본!C52</f>
        <v>벨트</v>
      </c>
      <c r="C383" s="19" t="str">
        <f aca="false">장비_기본!D52</f>
        <v>공통</v>
      </c>
      <c r="D383" s="8" t="s">
        <v>45</v>
      </c>
      <c r="E383" s="19" t="str">
        <f aca="false">장비_기본!F52</f>
        <v>받는 피해 감소</v>
      </c>
      <c r="F383" s="21" t="n">
        <f aca="false">장비_기본!G52*INDEX(등급!$C$5:$C$12,MATCH($D383,등급!$A$5:$A$12,0))</f>
        <v>0.0255</v>
      </c>
      <c r="G383" s="13" t="s">
        <v>78</v>
      </c>
      <c r="H383" s="12"/>
      <c r="I383" s="13" t="s">
        <v>78</v>
      </c>
      <c r="J383" s="12"/>
      <c r="K383" s="19" t="n">
        <f aca="false">INDEX(등급!$D$5:$D$12,MATCH($D383,등급!$A$5:$A$12,0))</f>
        <v>1</v>
      </c>
      <c r="L383" s="19" t="str">
        <f aca="false">IF(INDEX(등급!$H$5:$H$12,MATCH($D383,등급!$A$5:$A$12,0))=0,"-",IF(INDEX(등급!$G$5:$G$12,MATCH($D383,등급!$A$5:$A$12,0))=INDEX(등급!$H$5:$H$12,MATCH($D383,등급!$A$5:$A$12,0)),INDEX(등급!$G$5:$G$12,MATCH($D383,등급!$A$5:$A$12,0))&amp;"칸",INDEX(등급!$G$5:$G$12,MATCH($D383,등급!$A$5:$A$12,0))&amp;"~"&amp;INDEX(등급!$H$5:$H$12,MATCH($D383,등급!$A$5:$A$12,0))&amp;"칸"))</f>
        <v>-</v>
      </c>
      <c r="M383" s="19" t="str">
        <f aca="false">IF(INDEX(등급!$J$5:$J$12,MATCH($D383,등급!$A$5:$A$12,0))=0,"-",IF(INDEX(등급!$I$5:$I$12,MATCH($D383,등급!$A$5:$A$12,0))=INDEX(등급!$J$5:$J$12,MATCH($D383,등급!$A$5:$A$12,0)),INDEX(등급!$I$5:$I$12,MATCH($D383,등급!$A$5:$A$12,0))&amp;"개",INDEX(등급!$I$5:$I$12,MATCH($D383,등급!$A$5:$A$12,0))&amp;"~"&amp;INDEX(등급!$J$5:$J$12,MATCH($D383,등급!$A$5:$A$12,0))&amp;"개"))</f>
        <v>-</v>
      </c>
      <c r="N383" s="19" t="str">
        <f aca="false">IF(INDEX(등급!$L$5:$L$12,MATCH($D383,등급!$A$5:$A$12,0))=0,"-",INDEX(등급!$K$5:$K$12,MATCH($D383,등급!$A$5:$A$12,0))&amp;"~"&amp;INDEX(등급!$L$5:$L$12,MATCH($D383,등급!$A$5:$A$12,0))&amp;"개")</f>
        <v>-</v>
      </c>
    </row>
    <row r="384" customFormat="false" ht="15" hidden="false" customHeight="false" outlineLevel="0" collapsed="false">
      <c r="A384" s="19" t="str">
        <f aca="false">장비_기본!B52</f>
        <v>수호의 벨트</v>
      </c>
      <c r="B384" s="19" t="str">
        <f aca="false">장비_기본!C52</f>
        <v>벨트</v>
      </c>
      <c r="C384" s="19" t="str">
        <f aca="false">장비_기본!D52</f>
        <v>공통</v>
      </c>
      <c r="D384" s="8" t="s">
        <v>46</v>
      </c>
      <c r="E384" s="19" t="str">
        <f aca="false">장비_기본!F52</f>
        <v>받는 피해 감소</v>
      </c>
      <c r="F384" s="21" t="n">
        <f aca="false">장비_기본!G52*INDEX(등급!$C$5:$C$12,MATCH($D384,등급!$A$5:$A$12,0))</f>
        <v>0.0315</v>
      </c>
      <c r="G384" s="13" t="s">
        <v>78</v>
      </c>
      <c r="H384" s="12"/>
      <c r="I384" s="13" t="s">
        <v>78</v>
      </c>
      <c r="J384" s="12"/>
      <c r="K384" s="19" t="n">
        <f aca="false">INDEX(등급!$D$5:$D$12,MATCH($D384,등급!$A$5:$A$12,0))</f>
        <v>2</v>
      </c>
      <c r="L384" s="19" t="str">
        <f aca="false">IF(INDEX(등급!$H$5:$H$12,MATCH($D384,등급!$A$5:$A$12,0))=0,"-",IF(INDEX(등급!$G$5:$G$12,MATCH($D384,등급!$A$5:$A$12,0))=INDEX(등급!$H$5:$H$12,MATCH($D384,등급!$A$5:$A$12,0)),INDEX(등급!$G$5:$G$12,MATCH($D384,등급!$A$5:$A$12,0))&amp;"칸",INDEX(등급!$G$5:$G$12,MATCH($D384,등급!$A$5:$A$12,0))&amp;"~"&amp;INDEX(등급!$H$5:$H$12,MATCH($D384,등급!$A$5:$A$12,0))&amp;"칸"))</f>
        <v>-</v>
      </c>
      <c r="M384" s="19" t="str">
        <f aca="false">IF(INDEX(등급!$J$5:$J$12,MATCH($D384,등급!$A$5:$A$12,0))=0,"-",IF(INDEX(등급!$I$5:$I$12,MATCH($D384,등급!$A$5:$A$12,0))=INDEX(등급!$J$5:$J$12,MATCH($D384,등급!$A$5:$A$12,0)),INDEX(등급!$I$5:$I$12,MATCH($D384,등급!$A$5:$A$12,0))&amp;"개",INDEX(등급!$I$5:$I$12,MATCH($D384,등급!$A$5:$A$12,0))&amp;"~"&amp;INDEX(등급!$J$5:$J$12,MATCH($D384,등급!$A$5:$A$12,0))&amp;"개"))</f>
        <v>-</v>
      </c>
      <c r="N384" s="19" t="str">
        <f aca="false">IF(INDEX(등급!$L$5:$L$12,MATCH($D384,등급!$A$5:$A$12,0))=0,"-",INDEX(등급!$K$5:$K$12,MATCH($D384,등급!$A$5:$A$12,0))&amp;"~"&amp;INDEX(등급!$L$5:$L$12,MATCH($D384,등급!$A$5:$A$12,0))&amp;"개")</f>
        <v>-</v>
      </c>
    </row>
    <row r="385" customFormat="false" ht="15" hidden="false" customHeight="false" outlineLevel="0" collapsed="false">
      <c r="A385" s="19" t="str">
        <f aca="false">장비_기본!B52</f>
        <v>수호의 벨트</v>
      </c>
      <c r="B385" s="19" t="str">
        <f aca="false">장비_기본!C52</f>
        <v>벨트</v>
      </c>
      <c r="C385" s="19" t="str">
        <f aca="false">장비_기본!D52</f>
        <v>공통</v>
      </c>
      <c r="D385" s="8" t="s">
        <v>47</v>
      </c>
      <c r="E385" s="19" t="str">
        <f aca="false">장비_기본!F52</f>
        <v>받는 피해 감소</v>
      </c>
      <c r="F385" s="21" t="n">
        <f aca="false">장비_기본!G52*INDEX(등급!$C$5:$C$12,MATCH($D385,등급!$A$5:$A$12,0))</f>
        <v>0.03825</v>
      </c>
      <c r="G385" s="13" t="s">
        <v>78</v>
      </c>
      <c r="H385" s="12"/>
      <c r="I385" s="13" t="s">
        <v>78</v>
      </c>
      <c r="J385" s="12"/>
      <c r="K385" s="19" t="n">
        <f aca="false">INDEX(등급!$D$5:$D$12,MATCH($D385,등급!$A$5:$A$12,0))</f>
        <v>3</v>
      </c>
      <c r="L385" s="19" t="str">
        <f aca="false">IF(INDEX(등급!$H$5:$H$12,MATCH($D385,등급!$A$5:$A$12,0))=0,"-",IF(INDEX(등급!$G$5:$G$12,MATCH($D385,등급!$A$5:$A$12,0))=INDEX(등급!$H$5:$H$12,MATCH($D385,등급!$A$5:$A$12,0)),INDEX(등급!$G$5:$G$12,MATCH($D385,등급!$A$5:$A$12,0))&amp;"칸",INDEX(등급!$G$5:$G$12,MATCH($D385,등급!$A$5:$A$12,0))&amp;"~"&amp;INDEX(등급!$H$5:$H$12,MATCH($D385,등급!$A$5:$A$12,0))&amp;"칸"))</f>
        <v>-</v>
      </c>
      <c r="M385" s="19" t="str">
        <f aca="false">IF(INDEX(등급!$J$5:$J$12,MATCH($D385,등급!$A$5:$A$12,0))=0,"-",IF(INDEX(등급!$I$5:$I$12,MATCH($D385,등급!$A$5:$A$12,0))=INDEX(등급!$J$5:$J$12,MATCH($D385,등급!$A$5:$A$12,0)),INDEX(등급!$I$5:$I$12,MATCH($D385,등급!$A$5:$A$12,0))&amp;"개",INDEX(등급!$I$5:$I$12,MATCH($D385,등급!$A$5:$A$12,0))&amp;"~"&amp;INDEX(등급!$J$5:$J$12,MATCH($D385,등급!$A$5:$A$12,0))&amp;"개"))</f>
        <v>-</v>
      </c>
      <c r="N385" s="19" t="str">
        <f aca="false">IF(INDEX(등급!$L$5:$L$12,MATCH($D385,등급!$A$5:$A$12,0))=0,"-",INDEX(등급!$K$5:$K$12,MATCH($D385,등급!$A$5:$A$12,0))&amp;"~"&amp;INDEX(등급!$L$5:$L$12,MATCH($D385,등급!$A$5:$A$12,0))&amp;"개")</f>
        <v>-</v>
      </c>
    </row>
    <row r="386" customFormat="false" ht="15" hidden="false" customHeight="false" outlineLevel="0" collapsed="false">
      <c r="A386" s="19" t="str">
        <f aca="false">장비_기본!B52</f>
        <v>수호의 벨트</v>
      </c>
      <c r="B386" s="19" t="str">
        <f aca="false">장비_기본!C52</f>
        <v>벨트</v>
      </c>
      <c r="C386" s="19" t="str">
        <f aca="false">장비_기본!D52</f>
        <v>공통</v>
      </c>
      <c r="D386" s="8" t="s">
        <v>48</v>
      </c>
      <c r="E386" s="19" t="str">
        <f aca="false">장비_기본!F52</f>
        <v>받는 피해 감소</v>
      </c>
      <c r="F386" s="21" t="n">
        <f aca="false">장비_기본!G52*INDEX(등급!$C$5:$C$12,MATCH($D386,등급!$A$5:$A$12,0))</f>
        <v>0.04575</v>
      </c>
      <c r="G386" s="13" t="s">
        <v>78</v>
      </c>
      <c r="H386" s="12"/>
      <c r="I386" s="13" t="s">
        <v>78</v>
      </c>
      <c r="J386" s="12"/>
      <c r="K386" s="19" t="n">
        <f aca="false">INDEX(등급!$D$5:$D$12,MATCH($D386,등급!$A$5:$A$12,0))</f>
        <v>4</v>
      </c>
      <c r="L386" s="19" t="str">
        <f aca="false">IF(INDEX(등급!$H$5:$H$12,MATCH($D386,등급!$A$5:$A$12,0))=0,"-",IF(INDEX(등급!$G$5:$G$12,MATCH($D386,등급!$A$5:$A$12,0))=INDEX(등급!$H$5:$H$12,MATCH($D386,등급!$A$5:$A$12,0)),INDEX(등급!$G$5:$G$12,MATCH($D386,등급!$A$5:$A$12,0))&amp;"칸",INDEX(등급!$G$5:$G$12,MATCH($D386,등급!$A$5:$A$12,0))&amp;"~"&amp;INDEX(등급!$H$5:$H$12,MATCH($D386,등급!$A$5:$A$12,0))&amp;"칸"))</f>
        <v>-</v>
      </c>
      <c r="M386" s="19" t="str">
        <f aca="false">IF(INDEX(등급!$J$5:$J$12,MATCH($D386,등급!$A$5:$A$12,0))=0,"-",IF(INDEX(등급!$I$5:$I$12,MATCH($D386,등급!$A$5:$A$12,0))=INDEX(등급!$J$5:$J$12,MATCH($D386,등급!$A$5:$A$12,0)),INDEX(등급!$I$5:$I$12,MATCH($D386,등급!$A$5:$A$12,0))&amp;"개",INDEX(등급!$I$5:$I$12,MATCH($D386,등급!$A$5:$A$12,0))&amp;"~"&amp;INDEX(등급!$J$5:$J$12,MATCH($D386,등급!$A$5:$A$12,0))&amp;"개"))</f>
        <v>-</v>
      </c>
      <c r="N386" s="19" t="str">
        <f aca="false">IF(INDEX(등급!$L$5:$L$12,MATCH($D386,등급!$A$5:$A$12,0))=0,"-",INDEX(등급!$K$5:$K$12,MATCH($D386,등급!$A$5:$A$12,0))&amp;"~"&amp;INDEX(등급!$L$5:$L$12,MATCH($D386,등급!$A$5:$A$12,0))&amp;"개")</f>
        <v>-</v>
      </c>
    </row>
    <row r="387" customFormat="false" ht="15" hidden="false" customHeight="false" outlineLevel="0" collapsed="false">
      <c r="A387" s="19" t="str">
        <f aca="false">장비_기본!B52</f>
        <v>수호의 벨트</v>
      </c>
      <c r="B387" s="19" t="str">
        <f aca="false">장비_기본!C52</f>
        <v>벨트</v>
      </c>
      <c r="C387" s="19" t="str">
        <f aca="false">장비_기본!D52</f>
        <v>공통</v>
      </c>
      <c r="D387" s="8" t="s">
        <v>49</v>
      </c>
      <c r="E387" s="19" t="str">
        <f aca="false">장비_기본!F52</f>
        <v>받는 피해 감소</v>
      </c>
      <c r="F387" s="21" t="n">
        <f aca="false">장비_기본!G52*INDEX(등급!$C$5:$C$12,MATCH($D387,등급!$A$5:$A$12,0))</f>
        <v>0.048</v>
      </c>
      <c r="G387" s="13" t="s">
        <v>78</v>
      </c>
      <c r="H387" s="12"/>
      <c r="I387" s="13" t="s">
        <v>78</v>
      </c>
      <c r="J387" s="12"/>
      <c r="K387" s="19" t="n">
        <f aca="false">INDEX(등급!$D$5:$D$12,MATCH($D387,등급!$A$5:$A$12,0))</f>
        <v>4</v>
      </c>
      <c r="L387" s="19" t="str">
        <f aca="false">IF(INDEX(등급!$H$5:$H$12,MATCH($D387,등급!$A$5:$A$12,0))=0,"-",IF(INDEX(등급!$G$5:$G$12,MATCH($D387,등급!$A$5:$A$12,0))=INDEX(등급!$H$5:$H$12,MATCH($D387,등급!$A$5:$A$12,0)),INDEX(등급!$G$5:$G$12,MATCH($D387,등급!$A$5:$A$12,0))&amp;"칸",INDEX(등급!$G$5:$G$12,MATCH($D387,등급!$A$5:$A$12,0))&amp;"~"&amp;INDEX(등급!$H$5:$H$12,MATCH($D387,등급!$A$5:$A$12,0))&amp;"칸"))</f>
        <v>1칸</v>
      </c>
      <c r="M387" s="19" t="str">
        <f aca="false">IF(INDEX(등급!$J$5:$J$12,MATCH($D387,등급!$A$5:$A$12,0))=0,"-",IF(INDEX(등급!$I$5:$I$12,MATCH($D387,등급!$A$5:$A$12,0))=INDEX(등급!$J$5:$J$12,MATCH($D387,등급!$A$5:$A$12,0)),INDEX(등급!$I$5:$I$12,MATCH($D387,등급!$A$5:$A$12,0))&amp;"개",INDEX(등급!$I$5:$I$12,MATCH($D387,등급!$A$5:$A$12,0))&amp;"~"&amp;INDEX(등급!$J$5:$J$12,MATCH($D387,등급!$A$5:$A$12,0))&amp;"개"))</f>
        <v>0~1개</v>
      </c>
      <c r="N387" s="19" t="str">
        <f aca="false">IF(INDEX(등급!$L$5:$L$12,MATCH($D387,등급!$A$5:$A$12,0))=0,"-",INDEX(등급!$K$5:$K$12,MATCH($D387,등급!$A$5:$A$12,0))&amp;"~"&amp;INDEX(등급!$L$5:$L$12,MATCH($D387,등급!$A$5:$A$12,0))&amp;"개")</f>
        <v>0~1개</v>
      </c>
    </row>
    <row r="388" customFormat="false" ht="15" hidden="false" customHeight="false" outlineLevel="0" collapsed="false">
      <c r="A388" s="19" t="str">
        <f aca="false">장비_기본!B52</f>
        <v>수호의 벨트</v>
      </c>
      <c r="B388" s="19" t="str">
        <f aca="false">장비_기본!C52</f>
        <v>벨트</v>
      </c>
      <c r="C388" s="19" t="str">
        <f aca="false">장비_기본!D52</f>
        <v>공통</v>
      </c>
      <c r="D388" s="8" t="s">
        <v>51</v>
      </c>
      <c r="E388" s="19" t="str">
        <f aca="false">장비_기본!F52</f>
        <v>받는 피해 감소</v>
      </c>
      <c r="F388" s="21" t="n">
        <f aca="false">장비_기본!G52*INDEX(등급!$C$5:$C$12,MATCH($D388,등급!$A$5:$A$12,0))</f>
        <v>0.0495</v>
      </c>
      <c r="G388" s="13" t="s">
        <v>78</v>
      </c>
      <c r="H388" s="12"/>
      <c r="I388" s="13" t="s">
        <v>78</v>
      </c>
      <c r="J388" s="12"/>
      <c r="K388" s="19" t="n">
        <f aca="false">INDEX(등급!$D$5:$D$12,MATCH($D388,등급!$A$5:$A$12,0))</f>
        <v>4</v>
      </c>
      <c r="L388" s="19" t="str">
        <f aca="false">IF(INDEX(등급!$H$5:$H$12,MATCH($D388,등급!$A$5:$A$12,0))=0,"-",IF(INDEX(등급!$G$5:$G$12,MATCH($D388,등급!$A$5:$A$12,0))=INDEX(등급!$H$5:$H$12,MATCH($D388,등급!$A$5:$A$12,0)),INDEX(등급!$G$5:$G$12,MATCH($D388,등급!$A$5:$A$12,0))&amp;"칸",INDEX(등급!$G$5:$G$12,MATCH($D388,등급!$A$5:$A$12,0))&amp;"~"&amp;INDEX(등급!$H$5:$H$12,MATCH($D388,등급!$A$5:$A$12,0))&amp;"칸"))</f>
        <v>1~3칸</v>
      </c>
      <c r="M388" s="19" t="str">
        <f aca="false">IF(INDEX(등급!$J$5:$J$12,MATCH($D388,등급!$A$5:$A$12,0))=0,"-",IF(INDEX(등급!$I$5:$I$12,MATCH($D388,등급!$A$5:$A$12,0))=INDEX(등급!$J$5:$J$12,MATCH($D388,등급!$A$5:$A$12,0)),INDEX(등급!$I$5:$I$12,MATCH($D388,등급!$A$5:$A$12,0))&amp;"개",INDEX(등급!$I$5:$I$12,MATCH($D388,등급!$A$5:$A$12,0))&amp;"~"&amp;INDEX(등급!$J$5:$J$12,MATCH($D388,등급!$A$5:$A$12,0))&amp;"개"))</f>
        <v>1개</v>
      </c>
      <c r="N388" s="19" t="str">
        <f aca="false">IF(INDEX(등급!$L$5:$L$12,MATCH($D388,등급!$A$5:$A$12,0))=0,"-",INDEX(등급!$K$5:$K$12,MATCH($D388,등급!$A$5:$A$12,0))&amp;"~"&amp;INDEX(등급!$L$5:$L$12,MATCH($D388,등급!$A$5:$A$12,0))&amp;"개")</f>
        <v>0~2개</v>
      </c>
    </row>
    <row r="389" customFormat="false" ht="15" hidden="false" customHeight="false" outlineLevel="0" collapsed="false">
      <c r="A389" s="19" t="str">
        <f aca="false">장비_기본!B53</f>
        <v>질주의 벨트</v>
      </c>
      <c r="B389" s="19" t="str">
        <f aca="false">장비_기본!C53</f>
        <v>벨트</v>
      </c>
      <c r="C389" s="19" t="str">
        <f aca="false">장비_기본!D53</f>
        <v>공통</v>
      </c>
      <c r="D389" s="8" t="s">
        <v>43</v>
      </c>
      <c r="E389" s="19" t="str">
        <f aca="false">장비_기본!F53</f>
        <v>이동 속도</v>
      </c>
      <c r="F389" s="21" t="n">
        <f aca="false">장비_기본!G53*INDEX(등급!$C$5:$C$12,MATCH($D389,등급!$A$5:$A$12,0))</f>
        <v>0.03</v>
      </c>
      <c r="G389" s="19" t="str">
        <f aca="false">장비_기본!H53</f>
        <v>체력%</v>
      </c>
      <c r="H389" s="21" t="n">
        <f aca="false">장비_기본!I53*INDEX(등급!$C$5:$C$12,MATCH($D389,등급!$A$5:$A$12,0))</f>
        <v>0.015</v>
      </c>
      <c r="I389" s="13" t="s">
        <v>78</v>
      </c>
      <c r="J389" s="12"/>
      <c r="K389" s="19" t="n">
        <f aca="false">INDEX(등급!$D$5:$D$12,MATCH($D389,등급!$A$5:$A$12,0))</f>
        <v>0</v>
      </c>
      <c r="L389" s="19" t="str">
        <f aca="false">IF(INDEX(등급!$H$5:$H$12,MATCH($D389,등급!$A$5:$A$12,0))=0,"-",IF(INDEX(등급!$G$5:$G$12,MATCH($D389,등급!$A$5:$A$12,0))=INDEX(등급!$H$5:$H$12,MATCH($D389,등급!$A$5:$A$12,0)),INDEX(등급!$G$5:$G$12,MATCH($D389,등급!$A$5:$A$12,0))&amp;"칸",INDEX(등급!$G$5:$G$12,MATCH($D389,등급!$A$5:$A$12,0))&amp;"~"&amp;INDEX(등급!$H$5:$H$12,MATCH($D389,등급!$A$5:$A$12,0))&amp;"칸"))</f>
        <v>-</v>
      </c>
      <c r="M389" s="19" t="str">
        <f aca="false">IF(INDEX(등급!$J$5:$J$12,MATCH($D389,등급!$A$5:$A$12,0))=0,"-",IF(INDEX(등급!$I$5:$I$12,MATCH($D389,등급!$A$5:$A$12,0))=INDEX(등급!$J$5:$J$12,MATCH($D389,등급!$A$5:$A$12,0)),INDEX(등급!$I$5:$I$12,MATCH($D389,등급!$A$5:$A$12,0))&amp;"개",INDEX(등급!$I$5:$I$12,MATCH($D389,등급!$A$5:$A$12,0))&amp;"~"&amp;INDEX(등급!$J$5:$J$12,MATCH($D389,등급!$A$5:$A$12,0))&amp;"개"))</f>
        <v>-</v>
      </c>
      <c r="N389" s="19" t="str">
        <f aca="false">IF(INDEX(등급!$L$5:$L$12,MATCH($D389,등급!$A$5:$A$12,0))=0,"-",INDEX(등급!$K$5:$K$12,MATCH($D389,등급!$A$5:$A$12,0))&amp;"~"&amp;INDEX(등급!$L$5:$L$12,MATCH($D389,등급!$A$5:$A$12,0))&amp;"개")</f>
        <v>-</v>
      </c>
    </row>
    <row r="390" customFormat="false" ht="15" hidden="false" customHeight="false" outlineLevel="0" collapsed="false">
      <c r="A390" s="19" t="str">
        <f aca="false">장비_기본!B53</f>
        <v>질주의 벨트</v>
      </c>
      <c r="B390" s="19" t="str">
        <f aca="false">장비_기본!C53</f>
        <v>벨트</v>
      </c>
      <c r="C390" s="19" t="str">
        <f aca="false">장비_기본!D53</f>
        <v>공통</v>
      </c>
      <c r="D390" s="8" t="s">
        <v>44</v>
      </c>
      <c r="E390" s="19" t="str">
        <f aca="false">장비_기본!F53</f>
        <v>이동 속도</v>
      </c>
      <c r="F390" s="21" t="n">
        <f aca="false">장비_기본!G53*INDEX(등급!$C$5:$C$12,MATCH($D390,등급!$A$5:$A$12,0))</f>
        <v>0.0435</v>
      </c>
      <c r="G390" s="19" t="str">
        <f aca="false">장비_기본!H53</f>
        <v>체력%</v>
      </c>
      <c r="H390" s="21" t="n">
        <f aca="false">장비_기본!I53*INDEX(등급!$C$5:$C$12,MATCH($D390,등급!$A$5:$A$12,0))</f>
        <v>0.02175</v>
      </c>
      <c r="I390" s="13" t="s">
        <v>78</v>
      </c>
      <c r="J390" s="12"/>
      <c r="K390" s="19" t="n">
        <f aca="false">INDEX(등급!$D$5:$D$12,MATCH($D390,등급!$A$5:$A$12,0))</f>
        <v>0</v>
      </c>
      <c r="L390" s="19" t="str">
        <f aca="false">IF(INDEX(등급!$H$5:$H$12,MATCH($D390,등급!$A$5:$A$12,0))=0,"-",IF(INDEX(등급!$G$5:$G$12,MATCH($D390,등급!$A$5:$A$12,0))=INDEX(등급!$H$5:$H$12,MATCH($D390,등급!$A$5:$A$12,0)),INDEX(등급!$G$5:$G$12,MATCH($D390,등급!$A$5:$A$12,0))&amp;"칸",INDEX(등급!$G$5:$G$12,MATCH($D390,등급!$A$5:$A$12,0))&amp;"~"&amp;INDEX(등급!$H$5:$H$12,MATCH($D390,등급!$A$5:$A$12,0))&amp;"칸"))</f>
        <v>-</v>
      </c>
      <c r="M390" s="19" t="str">
        <f aca="false">IF(INDEX(등급!$J$5:$J$12,MATCH($D390,등급!$A$5:$A$12,0))=0,"-",IF(INDEX(등급!$I$5:$I$12,MATCH($D390,등급!$A$5:$A$12,0))=INDEX(등급!$J$5:$J$12,MATCH($D390,등급!$A$5:$A$12,0)),INDEX(등급!$I$5:$I$12,MATCH($D390,등급!$A$5:$A$12,0))&amp;"개",INDEX(등급!$I$5:$I$12,MATCH($D390,등급!$A$5:$A$12,0))&amp;"~"&amp;INDEX(등급!$J$5:$J$12,MATCH($D390,등급!$A$5:$A$12,0))&amp;"개"))</f>
        <v>-</v>
      </c>
      <c r="N390" s="19" t="str">
        <f aca="false">IF(INDEX(등급!$L$5:$L$12,MATCH($D390,등급!$A$5:$A$12,0))=0,"-",INDEX(등급!$K$5:$K$12,MATCH($D390,등급!$A$5:$A$12,0))&amp;"~"&amp;INDEX(등급!$L$5:$L$12,MATCH($D390,등급!$A$5:$A$12,0))&amp;"개")</f>
        <v>-</v>
      </c>
    </row>
    <row r="391" customFormat="false" ht="15" hidden="false" customHeight="false" outlineLevel="0" collapsed="false">
      <c r="A391" s="19" t="str">
        <f aca="false">장비_기본!B53</f>
        <v>질주의 벨트</v>
      </c>
      <c r="B391" s="19" t="str">
        <f aca="false">장비_기본!C53</f>
        <v>벨트</v>
      </c>
      <c r="C391" s="19" t="str">
        <f aca="false">장비_기본!D53</f>
        <v>공통</v>
      </c>
      <c r="D391" s="8" t="s">
        <v>45</v>
      </c>
      <c r="E391" s="19" t="str">
        <f aca="false">장비_기본!F53</f>
        <v>이동 속도</v>
      </c>
      <c r="F391" s="21" t="n">
        <f aca="false">장비_기본!G53*INDEX(등급!$C$5:$C$12,MATCH($D391,등급!$A$5:$A$12,0))</f>
        <v>0.051</v>
      </c>
      <c r="G391" s="19" t="str">
        <f aca="false">장비_기본!H53</f>
        <v>체력%</v>
      </c>
      <c r="H391" s="21" t="n">
        <f aca="false">장비_기본!I53*INDEX(등급!$C$5:$C$12,MATCH($D391,등급!$A$5:$A$12,0))</f>
        <v>0.0255</v>
      </c>
      <c r="I391" s="13" t="s">
        <v>78</v>
      </c>
      <c r="J391" s="12"/>
      <c r="K391" s="19" t="n">
        <f aca="false">INDEX(등급!$D$5:$D$12,MATCH($D391,등급!$A$5:$A$12,0))</f>
        <v>1</v>
      </c>
      <c r="L391" s="19" t="str">
        <f aca="false">IF(INDEX(등급!$H$5:$H$12,MATCH($D391,등급!$A$5:$A$12,0))=0,"-",IF(INDEX(등급!$G$5:$G$12,MATCH($D391,등급!$A$5:$A$12,0))=INDEX(등급!$H$5:$H$12,MATCH($D391,등급!$A$5:$A$12,0)),INDEX(등급!$G$5:$G$12,MATCH($D391,등급!$A$5:$A$12,0))&amp;"칸",INDEX(등급!$G$5:$G$12,MATCH($D391,등급!$A$5:$A$12,0))&amp;"~"&amp;INDEX(등급!$H$5:$H$12,MATCH($D391,등급!$A$5:$A$12,0))&amp;"칸"))</f>
        <v>-</v>
      </c>
      <c r="M391" s="19" t="str">
        <f aca="false">IF(INDEX(등급!$J$5:$J$12,MATCH($D391,등급!$A$5:$A$12,0))=0,"-",IF(INDEX(등급!$I$5:$I$12,MATCH($D391,등급!$A$5:$A$12,0))=INDEX(등급!$J$5:$J$12,MATCH($D391,등급!$A$5:$A$12,0)),INDEX(등급!$I$5:$I$12,MATCH($D391,등급!$A$5:$A$12,0))&amp;"개",INDEX(등급!$I$5:$I$12,MATCH($D391,등급!$A$5:$A$12,0))&amp;"~"&amp;INDEX(등급!$J$5:$J$12,MATCH($D391,등급!$A$5:$A$12,0))&amp;"개"))</f>
        <v>-</v>
      </c>
      <c r="N391" s="19" t="str">
        <f aca="false">IF(INDEX(등급!$L$5:$L$12,MATCH($D391,등급!$A$5:$A$12,0))=0,"-",INDEX(등급!$K$5:$K$12,MATCH($D391,등급!$A$5:$A$12,0))&amp;"~"&amp;INDEX(등급!$L$5:$L$12,MATCH($D391,등급!$A$5:$A$12,0))&amp;"개")</f>
        <v>-</v>
      </c>
    </row>
    <row r="392" customFormat="false" ht="15" hidden="false" customHeight="false" outlineLevel="0" collapsed="false">
      <c r="A392" s="19" t="str">
        <f aca="false">장비_기본!B53</f>
        <v>질주의 벨트</v>
      </c>
      <c r="B392" s="19" t="str">
        <f aca="false">장비_기본!C53</f>
        <v>벨트</v>
      </c>
      <c r="C392" s="19" t="str">
        <f aca="false">장비_기본!D53</f>
        <v>공통</v>
      </c>
      <c r="D392" s="8" t="s">
        <v>46</v>
      </c>
      <c r="E392" s="19" t="str">
        <f aca="false">장비_기본!F53</f>
        <v>이동 속도</v>
      </c>
      <c r="F392" s="21" t="n">
        <f aca="false">장비_기본!G53*INDEX(등급!$C$5:$C$12,MATCH($D392,등급!$A$5:$A$12,0))</f>
        <v>0.063</v>
      </c>
      <c r="G392" s="19" t="str">
        <f aca="false">장비_기본!H53</f>
        <v>체력%</v>
      </c>
      <c r="H392" s="21" t="n">
        <f aca="false">장비_기본!I53*INDEX(등급!$C$5:$C$12,MATCH($D392,등급!$A$5:$A$12,0))</f>
        <v>0.0315</v>
      </c>
      <c r="I392" s="13" t="s">
        <v>78</v>
      </c>
      <c r="J392" s="12"/>
      <c r="K392" s="19" t="n">
        <f aca="false">INDEX(등급!$D$5:$D$12,MATCH($D392,등급!$A$5:$A$12,0))</f>
        <v>2</v>
      </c>
      <c r="L392" s="19" t="str">
        <f aca="false">IF(INDEX(등급!$H$5:$H$12,MATCH($D392,등급!$A$5:$A$12,0))=0,"-",IF(INDEX(등급!$G$5:$G$12,MATCH($D392,등급!$A$5:$A$12,0))=INDEX(등급!$H$5:$H$12,MATCH($D392,등급!$A$5:$A$12,0)),INDEX(등급!$G$5:$G$12,MATCH($D392,등급!$A$5:$A$12,0))&amp;"칸",INDEX(등급!$G$5:$G$12,MATCH($D392,등급!$A$5:$A$12,0))&amp;"~"&amp;INDEX(등급!$H$5:$H$12,MATCH($D392,등급!$A$5:$A$12,0))&amp;"칸"))</f>
        <v>-</v>
      </c>
      <c r="M392" s="19" t="str">
        <f aca="false">IF(INDEX(등급!$J$5:$J$12,MATCH($D392,등급!$A$5:$A$12,0))=0,"-",IF(INDEX(등급!$I$5:$I$12,MATCH($D392,등급!$A$5:$A$12,0))=INDEX(등급!$J$5:$J$12,MATCH($D392,등급!$A$5:$A$12,0)),INDEX(등급!$I$5:$I$12,MATCH($D392,등급!$A$5:$A$12,0))&amp;"개",INDEX(등급!$I$5:$I$12,MATCH($D392,등급!$A$5:$A$12,0))&amp;"~"&amp;INDEX(등급!$J$5:$J$12,MATCH($D392,등급!$A$5:$A$12,0))&amp;"개"))</f>
        <v>-</v>
      </c>
      <c r="N392" s="19" t="str">
        <f aca="false">IF(INDEX(등급!$L$5:$L$12,MATCH($D392,등급!$A$5:$A$12,0))=0,"-",INDEX(등급!$K$5:$K$12,MATCH($D392,등급!$A$5:$A$12,0))&amp;"~"&amp;INDEX(등급!$L$5:$L$12,MATCH($D392,등급!$A$5:$A$12,0))&amp;"개")</f>
        <v>-</v>
      </c>
    </row>
    <row r="393" customFormat="false" ht="15" hidden="false" customHeight="false" outlineLevel="0" collapsed="false">
      <c r="A393" s="19" t="str">
        <f aca="false">장비_기본!B53</f>
        <v>질주의 벨트</v>
      </c>
      <c r="B393" s="19" t="str">
        <f aca="false">장비_기본!C53</f>
        <v>벨트</v>
      </c>
      <c r="C393" s="19" t="str">
        <f aca="false">장비_기본!D53</f>
        <v>공통</v>
      </c>
      <c r="D393" s="8" t="s">
        <v>47</v>
      </c>
      <c r="E393" s="19" t="str">
        <f aca="false">장비_기본!F53</f>
        <v>이동 속도</v>
      </c>
      <c r="F393" s="21" t="n">
        <f aca="false">장비_기본!G53*INDEX(등급!$C$5:$C$12,MATCH($D393,등급!$A$5:$A$12,0))</f>
        <v>0.0765</v>
      </c>
      <c r="G393" s="19" t="str">
        <f aca="false">장비_기본!H53</f>
        <v>체력%</v>
      </c>
      <c r="H393" s="21" t="n">
        <f aca="false">장비_기본!I53*INDEX(등급!$C$5:$C$12,MATCH($D393,등급!$A$5:$A$12,0))</f>
        <v>0.03825</v>
      </c>
      <c r="I393" s="13" t="s">
        <v>78</v>
      </c>
      <c r="J393" s="12"/>
      <c r="K393" s="19" t="n">
        <f aca="false">INDEX(등급!$D$5:$D$12,MATCH($D393,등급!$A$5:$A$12,0))</f>
        <v>3</v>
      </c>
      <c r="L393" s="19" t="str">
        <f aca="false">IF(INDEX(등급!$H$5:$H$12,MATCH($D393,등급!$A$5:$A$12,0))=0,"-",IF(INDEX(등급!$G$5:$G$12,MATCH($D393,등급!$A$5:$A$12,0))=INDEX(등급!$H$5:$H$12,MATCH($D393,등급!$A$5:$A$12,0)),INDEX(등급!$G$5:$G$12,MATCH($D393,등급!$A$5:$A$12,0))&amp;"칸",INDEX(등급!$G$5:$G$12,MATCH($D393,등급!$A$5:$A$12,0))&amp;"~"&amp;INDEX(등급!$H$5:$H$12,MATCH($D393,등급!$A$5:$A$12,0))&amp;"칸"))</f>
        <v>-</v>
      </c>
      <c r="M393" s="19" t="str">
        <f aca="false">IF(INDEX(등급!$J$5:$J$12,MATCH($D393,등급!$A$5:$A$12,0))=0,"-",IF(INDEX(등급!$I$5:$I$12,MATCH($D393,등급!$A$5:$A$12,0))=INDEX(등급!$J$5:$J$12,MATCH($D393,등급!$A$5:$A$12,0)),INDEX(등급!$I$5:$I$12,MATCH($D393,등급!$A$5:$A$12,0))&amp;"개",INDEX(등급!$I$5:$I$12,MATCH($D393,등급!$A$5:$A$12,0))&amp;"~"&amp;INDEX(등급!$J$5:$J$12,MATCH($D393,등급!$A$5:$A$12,0))&amp;"개"))</f>
        <v>-</v>
      </c>
      <c r="N393" s="19" t="str">
        <f aca="false">IF(INDEX(등급!$L$5:$L$12,MATCH($D393,등급!$A$5:$A$12,0))=0,"-",INDEX(등급!$K$5:$K$12,MATCH($D393,등급!$A$5:$A$12,0))&amp;"~"&amp;INDEX(등급!$L$5:$L$12,MATCH($D393,등급!$A$5:$A$12,0))&amp;"개")</f>
        <v>-</v>
      </c>
    </row>
    <row r="394" customFormat="false" ht="15" hidden="false" customHeight="false" outlineLevel="0" collapsed="false">
      <c r="A394" s="19" t="str">
        <f aca="false">장비_기본!B53</f>
        <v>질주의 벨트</v>
      </c>
      <c r="B394" s="19" t="str">
        <f aca="false">장비_기본!C53</f>
        <v>벨트</v>
      </c>
      <c r="C394" s="19" t="str">
        <f aca="false">장비_기본!D53</f>
        <v>공통</v>
      </c>
      <c r="D394" s="8" t="s">
        <v>48</v>
      </c>
      <c r="E394" s="19" t="str">
        <f aca="false">장비_기본!F53</f>
        <v>이동 속도</v>
      </c>
      <c r="F394" s="21" t="n">
        <f aca="false">장비_기본!G53*INDEX(등급!$C$5:$C$12,MATCH($D394,등급!$A$5:$A$12,0))</f>
        <v>0.0915</v>
      </c>
      <c r="G394" s="19" t="str">
        <f aca="false">장비_기본!H53</f>
        <v>체력%</v>
      </c>
      <c r="H394" s="21" t="n">
        <f aca="false">장비_기본!I53*INDEX(등급!$C$5:$C$12,MATCH($D394,등급!$A$5:$A$12,0))</f>
        <v>0.04575</v>
      </c>
      <c r="I394" s="13" t="s">
        <v>78</v>
      </c>
      <c r="J394" s="12"/>
      <c r="K394" s="19" t="n">
        <f aca="false">INDEX(등급!$D$5:$D$12,MATCH($D394,등급!$A$5:$A$12,0))</f>
        <v>4</v>
      </c>
      <c r="L394" s="19" t="str">
        <f aca="false">IF(INDEX(등급!$H$5:$H$12,MATCH($D394,등급!$A$5:$A$12,0))=0,"-",IF(INDEX(등급!$G$5:$G$12,MATCH($D394,등급!$A$5:$A$12,0))=INDEX(등급!$H$5:$H$12,MATCH($D394,등급!$A$5:$A$12,0)),INDEX(등급!$G$5:$G$12,MATCH($D394,등급!$A$5:$A$12,0))&amp;"칸",INDEX(등급!$G$5:$G$12,MATCH($D394,등급!$A$5:$A$12,0))&amp;"~"&amp;INDEX(등급!$H$5:$H$12,MATCH($D394,등급!$A$5:$A$12,0))&amp;"칸"))</f>
        <v>-</v>
      </c>
      <c r="M394" s="19" t="str">
        <f aca="false">IF(INDEX(등급!$J$5:$J$12,MATCH($D394,등급!$A$5:$A$12,0))=0,"-",IF(INDEX(등급!$I$5:$I$12,MATCH($D394,등급!$A$5:$A$12,0))=INDEX(등급!$J$5:$J$12,MATCH($D394,등급!$A$5:$A$12,0)),INDEX(등급!$I$5:$I$12,MATCH($D394,등급!$A$5:$A$12,0))&amp;"개",INDEX(등급!$I$5:$I$12,MATCH($D394,등급!$A$5:$A$12,0))&amp;"~"&amp;INDEX(등급!$J$5:$J$12,MATCH($D394,등급!$A$5:$A$12,0))&amp;"개"))</f>
        <v>-</v>
      </c>
      <c r="N394" s="19" t="str">
        <f aca="false">IF(INDEX(등급!$L$5:$L$12,MATCH($D394,등급!$A$5:$A$12,0))=0,"-",INDEX(등급!$K$5:$K$12,MATCH($D394,등급!$A$5:$A$12,0))&amp;"~"&amp;INDEX(등급!$L$5:$L$12,MATCH($D394,등급!$A$5:$A$12,0))&amp;"개")</f>
        <v>-</v>
      </c>
    </row>
    <row r="395" customFormat="false" ht="15" hidden="false" customHeight="false" outlineLevel="0" collapsed="false">
      <c r="A395" s="19" t="str">
        <f aca="false">장비_기본!B53</f>
        <v>질주의 벨트</v>
      </c>
      <c r="B395" s="19" t="str">
        <f aca="false">장비_기본!C53</f>
        <v>벨트</v>
      </c>
      <c r="C395" s="19" t="str">
        <f aca="false">장비_기본!D53</f>
        <v>공통</v>
      </c>
      <c r="D395" s="8" t="s">
        <v>49</v>
      </c>
      <c r="E395" s="19" t="str">
        <f aca="false">장비_기본!F53</f>
        <v>이동 속도</v>
      </c>
      <c r="F395" s="21" t="n">
        <f aca="false">장비_기본!G53*INDEX(등급!$C$5:$C$12,MATCH($D395,등급!$A$5:$A$12,0))</f>
        <v>0.096</v>
      </c>
      <c r="G395" s="19" t="str">
        <f aca="false">장비_기본!H53</f>
        <v>체력%</v>
      </c>
      <c r="H395" s="21" t="n">
        <f aca="false">장비_기본!I53*INDEX(등급!$C$5:$C$12,MATCH($D395,등급!$A$5:$A$12,0))</f>
        <v>0.048</v>
      </c>
      <c r="I395" s="13" t="s">
        <v>78</v>
      </c>
      <c r="J395" s="12"/>
      <c r="K395" s="19" t="n">
        <f aca="false">INDEX(등급!$D$5:$D$12,MATCH($D395,등급!$A$5:$A$12,0))</f>
        <v>4</v>
      </c>
      <c r="L395" s="19" t="str">
        <f aca="false">IF(INDEX(등급!$H$5:$H$12,MATCH($D395,등급!$A$5:$A$12,0))=0,"-",IF(INDEX(등급!$G$5:$G$12,MATCH($D395,등급!$A$5:$A$12,0))=INDEX(등급!$H$5:$H$12,MATCH($D395,등급!$A$5:$A$12,0)),INDEX(등급!$G$5:$G$12,MATCH($D395,등급!$A$5:$A$12,0))&amp;"칸",INDEX(등급!$G$5:$G$12,MATCH($D395,등급!$A$5:$A$12,0))&amp;"~"&amp;INDEX(등급!$H$5:$H$12,MATCH($D395,등급!$A$5:$A$12,0))&amp;"칸"))</f>
        <v>1칸</v>
      </c>
      <c r="M395" s="19" t="str">
        <f aca="false">IF(INDEX(등급!$J$5:$J$12,MATCH($D395,등급!$A$5:$A$12,0))=0,"-",IF(INDEX(등급!$I$5:$I$12,MATCH($D395,등급!$A$5:$A$12,0))=INDEX(등급!$J$5:$J$12,MATCH($D395,등급!$A$5:$A$12,0)),INDEX(등급!$I$5:$I$12,MATCH($D395,등급!$A$5:$A$12,0))&amp;"개",INDEX(등급!$I$5:$I$12,MATCH($D395,등급!$A$5:$A$12,0))&amp;"~"&amp;INDEX(등급!$J$5:$J$12,MATCH($D395,등급!$A$5:$A$12,0))&amp;"개"))</f>
        <v>0~1개</v>
      </c>
      <c r="N395" s="19" t="str">
        <f aca="false">IF(INDEX(등급!$L$5:$L$12,MATCH($D395,등급!$A$5:$A$12,0))=0,"-",INDEX(등급!$K$5:$K$12,MATCH($D395,등급!$A$5:$A$12,0))&amp;"~"&amp;INDEX(등급!$L$5:$L$12,MATCH($D395,등급!$A$5:$A$12,0))&amp;"개")</f>
        <v>0~1개</v>
      </c>
    </row>
    <row r="396" customFormat="false" ht="15" hidden="false" customHeight="false" outlineLevel="0" collapsed="false">
      <c r="A396" s="19" t="str">
        <f aca="false">장비_기본!B53</f>
        <v>질주의 벨트</v>
      </c>
      <c r="B396" s="19" t="str">
        <f aca="false">장비_기본!C53</f>
        <v>벨트</v>
      </c>
      <c r="C396" s="19" t="str">
        <f aca="false">장비_기본!D53</f>
        <v>공통</v>
      </c>
      <c r="D396" s="8" t="s">
        <v>51</v>
      </c>
      <c r="E396" s="19" t="str">
        <f aca="false">장비_기본!F53</f>
        <v>이동 속도</v>
      </c>
      <c r="F396" s="21" t="n">
        <f aca="false">장비_기본!G53*INDEX(등급!$C$5:$C$12,MATCH($D396,등급!$A$5:$A$12,0))</f>
        <v>0.099</v>
      </c>
      <c r="G396" s="19" t="str">
        <f aca="false">장비_기본!H53</f>
        <v>체력%</v>
      </c>
      <c r="H396" s="21" t="n">
        <f aca="false">장비_기본!I53*INDEX(등급!$C$5:$C$12,MATCH($D396,등급!$A$5:$A$12,0))</f>
        <v>0.0495</v>
      </c>
      <c r="I396" s="13" t="s">
        <v>78</v>
      </c>
      <c r="J396" s="12"/>
      <c r="K396" s="19" t="n">
        <f aca="false">INDEX(등급!$D$5:$D$12,MATCH($D396,등급!$A$5:$A$12,0))</f>
        <v>4</v>
      </c>
      <c r="L396" s="19" t="str">
        <f aca="false">IF(INDEX(등급!$H$5:$H$12,MATCH($D396,등급!$A$5:$A$12,0))=0,"-",IF(INDEX(등급!$G$5:$G$12,MATCH($D396,등급!$A$5:$A$12,0))=INDEX(등급!$H$5:$H$12,MATCH($D396,등급!$A$5:$A$12,0)),INDEX(등급!$G$5:$G$12,MATCH($D396,등급!$A$5:$A$12,0))&amp;"칸",INDEX(등급!$G$5:$G$12,MATCH($D396,등급!$A$5:$A$12,0))&amp;"~"&amp;INDEX(등급!$H$5:$H$12,MATCH($D396,등급!$A$5:$A$12,0))&amp;"칸"))</f>
        <v>1~3칸</v>
      </c>
      <c r="M396" s="19" t="str">
        <f aca="false">IF(INDEX(등급!$J$5:$J$12,MATCH($D396,등급!$A$5:$A$12,0))=0,"-",IF(INDEX(등급!$I$5:$I$12,MATCH($D396,등급!$A$5:$A$12,0))=INDEX(등급!$J$5:$J$12,MATCH($D396,등급!$A$5:$A$12,0)),INDEX(등급!$I$5:$I$12,MATCH($D396,등급!$A$5:$A$12,0))&amp;"개",INDEX(등급!$I$5:$I$12,MATCH($D396,등급!$A$5:$A$12,0))&amp;"~"&amp;INDEX(등급!$J$5:$J$12,MATCH($D396,등급!$A$5:$A$12,0))&amp;"개"))</f>
        <v>1개</v>
      </c>
      <c r="N396" s="19" t="str">
        <f aca="false">IF(INDEX(등급!$L$5:$L$12,MATCH($D396,등급!$A$5:$A$12,0))=0,"-",INDEX(등급!$K$5:$K$12,MATCH($D396,등급!$A$5:$A$12,0))&amp;"~"&amp;INDEX(등급!$L$5:$L$12,MATCH($D396,등급!$A$5:$A$12,0))&amp;"개")</f>
        <v>0~2개</v>
      </c>
    </row>
  </sheetData>
  <autoFilter ref="A4:N3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18" min="7" style="0" width="9"/>
    <col collapsed="false" customWidth="true" hidden="false" outlineLevel="0" max="19" min="19" style="0" width="12"/>
  </cols>
  <sheetData>
    <row r="1" customFormat="false" ht="17.35" hidden="false" customHeight="false" outlineLevel="0" collapsed="false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22" t="s">
        <v>312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27.6" hidden="false" customHeight="false" outlineLevel="0" collapsed="false">
      <c r="A4" s="7" t="s">
        <v>68</v>
      </c>
      <c r="B4" s="7" t="s">
        <v>313</v>
      </c>
      <c r="C4" s="15" t="s">
        <v>314</v>
      </c>
      <c r="D4" s="15" t="s">
        <v>315</v>
      </c>
      <c r="E4" s="7" t="s">
        <v>316</v>
      </c>
      <c r="F4" s="7" t="s">
        <v>317</v>
      </c>
      <c r="G4" s="15" t="s">
        <v>314</v>
      </c>
      <c r="H4" s="15" t="s">
        <v>318</v>
      </c>
      <c r="I4" s="15" t="s">
        <v>319</v>
      </c>
      <c r="J4" s="15" t="s">
        <v>320</v>
      </c>
      <c r="K4" s="15" t="s">
        <v>321</v>
      </c>
      <c r="L4" s="15" t="s">
        <v>322</v>
      </c>
      <c r="M4" s="15" t="s">
        <v>315</v>
      </c>
      <c r="N4" s="15" t="s">
        <v>323</v>
      </c>
      <c r="O4" s="15" t="s">
        <v>324</v>
      </c>
      <c r="P4" s="15" t="s">
        <v>325</v>
      </c>
      <c r="Q4" s="15" t="s">
        <v>326</v>
      </c>
      <c r="R4" s="15" t="s">
        <v>327</v>
      </c>
      <c r="S4" s="15" t="s">
        <v>328</v>
      </c>
    </row>
    <row r="5" customFormat="false" ht="15" hidden="false" customHeight="false" outlineLevel="0" collapsed="false">
      <c r="A5" s="13" t="s">
        <v>83</v>
      </c>
      <c r="B5" s="16" t="s">
        <v>329</v>
      </c>
      <c r="C5" s="23" t="n">
        <v>0.018</v>
      </c>
      <c r="D5" s="23" t="n">
        <v>0.026</v>
      </c>
      <c r="E5" s="10" t="n">
        <v>10</v>
      </c>
      <c r="F5" s="12" t="s">
        <v>330</v>
      </c>
      <c r="G5" s="24" t="n">
        <f aca="false">$C5*등급!$E$7</f>
        <v>0.018</v>
      </c>
      <c r="H5" s="24" t="n">
        <f aca="false">$C5*등급!$E$8</f>
        <v>0.0207</v>
      </c>
      <c r="I5" s="24" t="n">
        <f aca="false">$C5*등급!$E$9</f>
        <v>0.0234</v>
      </c>
      <c r="J5" s="24" t="n">
        <f aca="false">$C5*등급!$E$10</f>
        <v>0.027</v>
      </c>
      <c r="K5" s="24" t="n">
        <f aca="false">$C5*등급!$E$11</f>
        <v>0.0279</v>
      </c>
      <c r="L5" s="24" t="n">
        <f aca="false">$C5*등급!$E$12</f>
        <v>0.02844</v>
      </c>
      <c r="M5" s="24" t="n">
        <f aca="false">$D5*등급!$E$7</f>
        <v>0.026</v>
      </c>
      <c r="N5" s="24" t="n">
        <f aca="false">$D5*등급!$E$8</f>
        <v>0.0299</v>
      </c>
      <c r="O5" s="24" t="n">
        <f aca="false">$D5*등급!$E$9</f>
        <v>0.0338</v>
      </c>
      <c r="P5" s="24" t="n">
        <f aca="false">$D5*등급!$E$10</f>
        <v>0.039</v>
      </c>
      <c r="Q5" s="24" t="n">
        <f aca="false">$D5*등급!$E$11</f>
        <v>0.0403</v>
      </c>
      <c r="R5" s="24" t="n">
        <f aca="false">$D5*등급!$E$12</f>
        <v>0.04108</v>
      </c>
      <c r="S5" s="25" t="n">
        <f aca="false">(C5+D5)/2*100*스탯!$D$7</f>
        <v>1.1</v>
      </c>
    </row>
    <row r="6" customFormat="false" ht="15" hidden="false" customHeight="false" outlineLevel="0" collapsed="false">
      <c r="A6" s="13" t="s">
        <v>86</v>
      </c>
      <c r="B6" s="16" t="s">
        <v>331</v>
      </c>
      <c r="C6" s="23" t="n">
        <v>0.025</v>
      </c>
      <c r="D6" s="23" t="n">
        <v>0.035</v>
      </c>
      <c r="E6" s="10" t="n">
        <v>12</v>
      </c>
      <c r="F6" s="12" t="s">
        <v>330</v>
      </c>
      <c r="G6" s="24" t="n">
        <f aca="false">$C6*등급!$E$7</f>
        <v>0.025</v>
      </c>
      <c r="H6" s="24" t="n">
        <f aca="false">$C6*등급!$E$8</f>
        <v>0.02875</v>
      </c>
      <c r="I6" s="24" t="n">
        <f aca="false">$C6*등급!$E$9</f>
        <v>0.0325</v>
      </c>
      <c r="J6" s="24" t="n">
        <f aca="false">$C6*등급!$E$10</f>
        <v>0.0375</v>
      </c>
      <c r="K6" s="24" t="n">
        <f aca="false">$C6*등급!$E$11</f>
        <v>0.03875</v>
      </c>
      <c r="L6" s="24" t="n">
        <f aca="false">$C6*등급!$E$12</f>
        <v>0.0395</v>
      </c>
      <c r="M6" s="24" t="n">
        <f aca="false">$D6*등급!$E$7</f>
        <v>0.035</v>
      </c>
      <c r="N6" s="24" t="n">
        <f aca="false">$D6*등급!$E$8</f>
        <v>0.04025</v>
      </c>
      <c r="O6" s="24" t="n">
        <f aca="false">$D6*등급!$E$9</f>
        <v>0.0455</v>
      </c>
      <c r="P6" s="24" t="n">
        <f aca="false">$D6*등급!$E$10</f>
        <v>0.0525</v>
      </c>
      <c r="Q6" s="24" t="n">
        <f aca="false">$D6*등급!$E$11</f>
        <v>0.05425</v>
      </c>
      <c r="R6" s="24" t="n">
        <f aca="false">$D6*등급!$E$12</f>
        <v>0.0553</v>
      </c>
      <c r="S6" s="25" t="n">
        <f aca="false">(C6+D6)/2*100*스탯!$D$8</f>
        <v>1.5</v>
      </c>
    </row>
    <row r="7" customFormat="false" ht="15" hidden="false" customHeight="false" outlineLevel="0" collapsed="false">
      <c r="A7" s="13" t="s">
        <v>88</v>
      </c>
      <c r="B7" s="16" t="s">
        <v>89</v>
      </c>
      <c r="C7" s="23" t="n">
        <v>0.02</v>
      </c>
      <c r="D7" s="23" t="n">
        <v>0.03</v>
      </c>
      <c r="E7" s="10" t="n">
        <v>7</v>
      </c>
      <c r="F7" s="12" t="s">
        <v>332</v>
      </c>
      <c r="G7" s="24" t="n">
        <f aca="false">$C7*등급!$E$7</f>
        <v>0.02</v>
      </c>
      <c r="H7" s="24" t="n">
        <f aca="false">$C7*등급!$E$8</f>
        <v>0.023</v>
      </c>
      <c r="I7" s="24" t="n">
        <f aca="false">$C7*등급!$E$9</f>
        <v>0.026</v>
      </c>
      <c r="J7" s="24" t="n">
        <f aca="false">$C7*등급!$E$10</f>
        <v>0.03</v>
      </c>
      <c r="K7" s="24" t="n">
        <f aca="false">$C7*등급!$E$11</f>
        <v>0.031</v>
      </c>
      <c r="L7" s="24" t="n">
        <f aca="false">$C7*등급!$E$12</f>
        <v>0.0316</v>
      </c>
      <c r="M7" s="24" t="n">
        <f aca="false">$D7*등급!$E$7</f>
        <v>0.03</v>
      </c>
      <c r="N7" s="24" t="n">
        <f aca="false">$D7*등급!$E$8</f>
        <v>0.0345</v>
      </c>
      <c r="O7" s="24" t="n">
        <f aca="false">$D7*등급!$E$9</f>
        <v>0.039</v>
      </c>
      <c r="P7" s="24" t="n">
        <f aca="false">$D7*등급!$E$10</f>
        <v>0.045</v>
      </c>
      <c r="Q7" s="24" t="n">
        <f aca="false">$D7*등급!$E$11</f>
        <v>0.0465</v>
      </c>
      <c r="R7" s="24" t="n">
        <f aca="false">$D7*등급!$E$12</f>
        <v>0.0474</v>
      </c>
      <c r="S7" s="25" t="n">
        <f aca="false">(C7+D7)/2*100*스탯!$D$9</f>
        <v>1.5</v>
      </c>
    </row>
    <row r="8" customFormat="false" ht="15" hidden="false" customHeight="false" outlineLevel="0" collapsed="false">
      <c r="A8" s="13" t="s">
        <v>90</v>
      </c>
      <c r="B8" s="16" t="s">
        <v>91</v>
      </c>
      <c r="C8" s="23" t="n">
        <v>0.03</v>
      </c>
      <c r="D8" s="23" t="n">
        <v>0.045</v>
      </c>
      <c r="E8" s="10" t="n">
        <v>7</v>
      </c>
      <c r="F8" s="12" t="s">
        <v>333</v>
      </c>
      <c r="G8" s="24" t="n">
        <f aca="false">$C8*등급!$E$7</f>
        <v>0.03</v>
      </c>
      <c r="H8" s="24" t="n">
        <f aca="false">$C8*등급!$E$8</f>
        <v>0.0345</v>
      </c>
      <c r="I8" s="24" t="n">
        <f aca="false">$C8*등급!$E$9</f>
        <v>0.039</v>
      </c>
      <c r="J8" s="24" t="n">
        <f aca="false">$C8*등급!$E$10</f>
        <v>0.045</v>
      </c>
      <c r="K8" s="24" t="n">
        <f aca="false">$C8*등급!$E$11</f>
        <v>0.0465</v>
      </c>
      <c r="L8" s="24" t="n">
        <f aca="false">$C8*등급!$E$12</f>
        <v>0.0474</v>
      </c>
      <c r="M8" s="24" t="n">
        <f aca="false">$D8*등급!$E$7</f>
        <v>0.045</v>
      </c>
      <c r="N8" s="24" t="n">
        <f aca="false">$D8*등급!$E$8</f>
        <v>0.05175</v>
      </c>
      <c r="O8" s="24" t="n">
        <f aca="false">$D8*등급!$E$9</f>
        <v>0.0585</v>
      </c>
      <c r="P8" s="24" t="n">
        <f aca="false">$D8*등급!$E$10</f>
        <v>0.0675</v>
      </c>
      <c r="Q8" s="24" t="n">
        <f aca="false">$D8*등급!$E$11</f>
        <v>0.06975</v>
      </c>
      <c r="R8" s="24" t="n">
        <f aca="false">$D8*등급!$E$12</f>
        <v>0.0711</v>
      </c>
      <c r="S8" s="25" t="n">
        <f aca="false">(C8+D8)/2*100*스탯!$D$10</f>
        <v>1.125</v>
      </c>
    </row>
    <row r="9" customFormat="false" ht="15" hidden="false" customHeight="false" outlineLevel="0" collapsed="false">
      <c r="A9" s="13" t="s">
        <v>92</v>
      </c>
      <c r="B9" s="16" t="s">
        <v>93</v>
      </c>
      <c r="C9" s="23" t="n">
        <v>0.03</v>
      </c>
      <c r="D9" s="23" t="n">
        <v>0.045</v>
      </c>
      <c r="E9" s="10" t="n">
        <v>7</v>
      </c>
      <c r="F9" s="12" t="s">
        <v>334</v>
      </c>
      <c r="G9" s="24" t="n">
        <f aca="false">$C9*등급!$E$7</f>
        <v>0.03</v>
      </c>
      <c r="H9" s="24" t="n">
        <f aca="false">$C9*등급!$E$8</f>
        <v>0.0345</v>
      </c>
      <c r="I9" s="24" t="n">
        <f aca="false">$C9*등급!$E$9</f>
        <v>0.039</v>
      </c>
      <c r="J9" s="24" t="n">
        <f aca="false">$C9*등급!$E$10</f>
        <v>0.045</v>
      </c>
      <c r="K9" s="24" t="n">
        <f aca="false">$C9*등급!$E$11</f>
        <v>0.0465</v>
      </c>
      <c r="L9" s="24" t="n">
        <f aca="false">$C9*등급!$E$12</f>
        <v>0.0474</v>
      </c>
      <c r="M9" s="24" t="n">
        <f aca="false">$D9*등급!$E$7</f>
        <v>0.045</v>
      </c>
      <c r="N9" s="24" t="n">
        <f aca="false">$D9*등급!$E$8</f>
        <v>0.05175</v>
      </c>
      <c r="O9" s="24" t="n">
        <f aca="false">$D9*등급!$E$9</f>
        <v>0.0585</v>
      </c>
      <c r="P9" s="24" t="n">
        <f aca="false">$D9*등급!$E$10</f>
        <v>0.0675</v>
      </c>
      <c r="Q9" s="24" t="n">
        <f aca="false">$D9*등급!$E$11</f>
        <v>0.06975</v>
      </c>
      <c r="R9" s="24" t="n">
        <f aca="false">$D9*등급!$E$12</f>
        <v>0.0711</v>
      </c>
      <c r="S9" s="25" t="n">
        <f aca="false">(C9+D9)/2*100*스탯!$D$11</f>
        <v>1.125</v>
      </c>
    </row>
    <row r="10" customFormat="false" ht="15" hidden="false" customHeight="false" outlineLevel="0" collapsed="false">
      <c r="A10" s="13" t="s">
        <v>94</v>
      </c>
      <c r="B10" s="16" t="s">
        <v>95</v>
      </c>
      <c r="C10" s="23" t="n">
        <v>0.09</v>
      </c>
      <c r="D10" s="23" t="n">
        <v>0.13</v>
      </c>
      <c r="E10" s="10" t="n">
        <v>7</v>
      </c>
      <c r="F10" s="12" t="s">
        <v>334</v>
      </c>
      <c r="G10" s="24" t="n">
        <f aca="false">$C10*등급!$E$7</f>
        <v>0.09</v>
      </c>
      <c r="H10" s="24" t="n">
        <f aca="false">$C10*등급!$E$8</f>
        <v>0.1035</v>
      </c>
      <c r="I10" s="24" t="n">
        <f aca="false">$C10*등급!$E$9</f>
        <v>0.117</v>
      </c>
      <c r="J10" s="24" t="n">
        <f aca="false">$C10*등급!$E$10</f>
        <v>0.135</v>
      </c>
      <c r="K10" s="24" t="n">
        <f aca="false">$C10*등급!$E$11</f>
        <v>0.1395</v>
      </c>
      <c r="L10" s="24" t="n">
        <f aca="false">$C10*등급!$E$12</f>
        <v>0.1422</v>
      </c>
      <c r="M10" s="24" t="n">
        <f aca="false">$D10*등급!$E$7</f>
        <v>0.13</v>
      </c>
      <c r="N10" s="24" t="n">
        <f aca="false">$D10*등급!$E$8</f>
        <v>0.1495</v>
      </c>
      <c r="O10" s="24" t="n">
        <f aca="false">$D10*등급!$E$9</f>
        <v>0.169</v>
      </c>
      <c r="P10" s="24" t="n">
        <f aca="false">$D10*등급!$E$10</f>
        <v>0.195</v>
      </c>
      <c r="Q10" s="24" t="n">
        <f aca="false">$D10*등급!$E$11</f>
        <v>0.2015</v>
      </c>
      <c r="R10" s="24" t="n">
        <f aca="false">$D10*등급!$E$12</f>
        <v>0.2054</v>
      </c>
      <c r="S10" s="25" t="n">
        <f aca="false">(C10+D10)/2*100*스탯!$D$12</f>
        <v>1.1</v>
      </c>
    </row>
    <row r="11" customFormat="false" ht="15" hidden="false" customHeight="false" outlineLevel="0" collapsed="false">
      <c r="A11" s="13" t="s">
        <v>96</v>
      </c>
      <c r="B11" s="16" t="s">
        <v>97</v>
      </c>
      <c r="C11" s="23" t="n">
        <v>0.045</v>
      </c>
      <c r="D11" s="23" t="n">
        <v>0.065</v>
      </c>
      <c r="E11" s="10" t="n">
        <v>9</v>
      </c>
      <c r="F11" s="12" t="s">
        <v>330</v>
      </c>
      <c r="G11" s="24" t="n">
        <f aca="false">$C11*등급!$E$7</f>
        <v>0.045</v>
      </c>
      <c r="H11" s="24" t="n">
        <f aca="false">$C11*등급!$E$8</f>
        <v>0.05175</v>
      </c>
      <c r="I11" s="24" t="n">
        <f aca="false">$C11*등급!$E$9</f>
        <v>0.0585</v>
      </c>
      <c r="J11" s="24" t="n">
        <f aca="false">$C11*등급!$E$10</f>
        <v>0.0675</v>
      </c>
      <c r="K11" s="24" t="n">
        <f aca="false">$C11*등급!$E$11</f>
        <v>0.06975</v>
      </c>
      <c r="L11" s="24" t="n">
        <f aca="false">$C11*등급!$E$12</f>
        <v>0.0711</v>
      </c>
      <c r="M11" s="24" t="n">
        <f aca="false">$D11*등급!$E$7</f>
        <v>0.065</v>
      </c>
      <c r="N11" s="24" t="n">
        <f aca="false">$D11*등급!$E$8</f>
        <v>0.07475</v>
      </c>
      <c r="O11" s="24" t="n">
        <f aca="false">$D11*등급!$E$9</f>
        <v>0.0845</v>
      </c>
      <c r="P11" s="24" t="n">
        <f aca="false">$D11*등급!$E$10</f>
        <v>0.0975</v>
      </c>
      <c r="Q11" s="24" t="n">
        <f aca="false">$D11*등급!$E$11</f>
        <v>0.10075</v>
      </c>
      <c r="R11" s="24" t="n">
        <f aca="false">$D11*등급!$E$12</f>
        <v>0.1027</v>
      </c>
      <c r="S11" s="25" t="n">
        <f aca="false">(C11+D11)/2*100*스탯!$D$13</f>
        <v>1.1</v>
      </c>
    </row>
    <row r="12" customFormat="false" ht="15" hidden="false" customHeight="false" outlineLevel="0" collapsed="false">
      <c r="A12" s="13" t="s">
        <v>98</v>
      </c>
      <c r="B12" s="16" t="s">
        <v>99</v>
      </c>
      <c r="C12" s="23" t="n">
        <v>0.035</v>
      </c>
      <c r="D12" s="23" t="n">
        <v>0.05</v>
      </c>
      <c r="E12" s="10" t="n">
        <v>6</v>
      </c>
      <c r="F12" s="12" t="s">
        <v>335</v>
      </c>
      <c r="G12" s="24" t="n">
        <f aca="false">$C12*등급!$E$7</f>
        <v>0.035</v>
      </c>
      <c r="H12" s="24" t="n">
        <f aca="false">$C12*등급!$E$8</f>
        <v>0.04025</v>
      </c>
      <c r="I12" s="24" t="n">
        <f aca="false">$C12*등급!$E$9</f>
        <v>0.0455</v>
      </c>
      <c r="J12" s="24" t="n">
        <f aca="false">$C12*등급!$E$10</f>
        <v>0.0525</v>
      </c>
      <c r="K12" s="24" t="n">
        <f aca="false">$C12*등급!$E$11</f>
        <v>0.05425</v>
      </c>
      <c r="L12" s="24" t="n">
        <f aca="false">$C12*등급!$E$12</f>
        <v>0.0553</v>
      </c>
      <c r="M12" s="24" t="n">
        <f aca="false">$D12*등급!$E$7</f>
        <v>0.05</v>
      </c>
      <c r="N12" s="24" t="n">
        <f aca="false">$D12*등급!$E$8</f>
        <v>0.0575</v>
      </c>
      <c r="O12" s="24" t="n">
        <f aca="false">$D12*등급!$E$9</f>
        <v>0.065</v>
      </c>
      <c r="P12" s="24" t="n">
        <f aca="false">$D12*등급!$E$10</f>
        <v>0.075</v>
      </c>
      <c r="Q12" s="24" t="n">
        <f aca="false">$D12*등급!$E$11</f>
        <v>0.0775</v>
      </c>
      <c r="R12" s="24" t="n">
        <f aca="false">$D12*등급!$E$12</f>
        <v>0.079</v>
      </c>
      <c r="S12" s="25" t="n">
        <f aca="false">(C12+D12)/2*100*스탯!$D$14</f>
        <v>1.4875</v>
      </c>
    </row>
    <row r="13" customFormat="false" ht="15" hidden="false" customHeight="false" outlineLevel="0" collapsed="false">
      <c r="A13" s="13" t="s">
        <v>100</v>
      </c>
      <c r="B13" s="16" t="s">
        <v>101</v>
      </c>
      <c r="C13" s="23" t="n">
        <v>0.06</v>
      </c>
      <c r="D13" s="23" t="n">
        <v>0.09</v>
      </c>
      <c r="E13" s="10" t="n">
        <v>6</v>
      </c>
      <c r="F13" s="12" t="s">
        <v>336</v>
      </c>
      <c r="G13" s="24" t="n">
        <f aca="false">$C13*등급!$E$7</f>
        <v>0.06</v>
      </c>
      <c r="H13" s="24" t="n">
        <f aca="false">$C13*등급!$E$8</f>
        <v>0.069</v>
      </c>
      <c r="I13" s="24" t="n">
        <f aca="false">$C13*등급!$E$9</f>
        <v>0.078</v>
      </c>
      <c r="J13" s="24" t="n">
        <f aca="false">$C13*등급!$E$10</f>
        <v>0.09</v>
      </c>
      <c r="K13" s="24" t="n">
        <f aca="false">$C13*등급!$E$11</f>
        <v>0.093</v>
      </c>
      <c r="L13" s="24" t="n">
        <f aca="false">$C13*등급!$E$12</f>
        <v>0.0948</v>
      </c>
      <c r="M13" s="24" t="n">
        <f aca="false">$D13*등급!$E$7</f>
        <v>0.09</v>
      </c>
      <c r="N13" s="24" t="n">
        <f aca="false">$D13*등급!$E$8</f>
        <v>0.1035</v>
      </c>
      <c r="O13" s="24" t="n">
        <f aca="false">$D13*등급!$E$9</f>
        <v>0.117</v>
      </c>
      <c r="P13" s="24" t="n">
        <f aca="false">$D13*등급!$E$10</f>
        <v>0.135</v>
      </c>
      <c r="Q13" s="24" t="n">
        <f aca="false">$D13*등급!$E$11</f>
        <v>0.1395</v>
      </c>
      <c r="R13" s="24" t="n">
        <f aca="false">$D13*등급!$E$12</f>
        <v>0.1422</v>
      </c>
      <c r="S13" s="25" t="n">
        <f aca="false">(C13+D13)/2*100*스탯!$D$15</f>
        <v>1.5</v>
      </c>
    </row>
    <row r="14" customFormat="false" ht="15" hidden="false" customHeight="false" outlineLevel="0" collapsed="false">
      <c r="A14" s="13" t="s">
        <v>102</v>
      </c>
      <c r="B14" s="16" t="s">
        <v>103</v>
      </c>
      <c r="C14" s="23" t="n">
        <v>0.07</v>
      </c>
      <c r="D14" s="23" t="n">
        <v>0.1</v>
      </c>
      <c r="E14" s="10" t="n">
        <v>6</v>
      </c>
      <c r="F14" s="12" t="s">
        <v>330</v>
      </c>
      <c r="G14" s="24" t="n">
        <f aca="false">$C14*등급!$E$7</f>
        <v>0.07</v>
      </c>
      <c r="H14" s="24" t="n">
        <f aca="false">$C14*등급!$E$8</f>
        <v>0.0805</v>
      </c>
      <c r="I14" s="24" t="n">
        <f aca="false">$C14*등급!$E$9</f>
        <v>0.091</v>
      </c>
      <c r="J14" s="24" t="n">
        <f aca="false">$C14*등급!$E$10</f>
        <v>0.105</v>
      </c>
      <c r="K14" s="24" t="n">
        <f aca="false">$C14*등급!$E$11</f>
        <v>0.1085</v>
      </c>
      <c r="L14" s="24" t="n">
        <f aca="false">$C14*등급!$E$12</f>
        <v>0.1106</v>
      </c>
      <c r="M14" s="24" t="n">
        <f aca="false">$D14*등급!$E$7</f>
        <v>0.1</v>
      </c>
      <c r="N14" s="24" t="n">
        <f aca="false">$D14*등급!$E$8</f>
        <v>0.115</v>
      </c>
      <c r="O14" s="24" t="n">
        <f aca="false">$D14*등급!$E$9</f>
        <v>0.13</v>
      </c>
      <c r="P14" s="24" t="n">
        <f aca="false">$D14*등급!$E$10</f>
        <v>0.15</v>
      </c>
      <c r="Q14" s="24" t="n">
        <f aca="false">$D14*등급!$E$11</f>
        <v>0.155</v>
      </c>
      <c r="R14" s="24" t="n">
        <f aca="false">$D14*등급!$E$12</f>
        <v>0.158</v>
      </c>
      <c r="S14" s="25" t="n">
        <f aca="false">(C14+D14)/2*100*스탯!$D$16</f>
        <v>1.02</v>
      </c>
    </row>
    <row r="15" customFormat="false" ht="15" hidden="false" customHeight="false" outlineLevel="0" collapsed="false">
      <c r="A15" s="13" t="s">
        <v>104</v>
      </c>
      <c r="B15" s="16" t="s">
        <v>105</v>
      </c>
      <c r="C15" s="23" t="n">
        <v>0.1</v>
      </c>
      <c r="D15" s="23" t="n">
        <v>0.15</v>
      </c>
      <c r="E15" s="10" t="n">
        <v>4</v>
      </c>
      <c r="F15" s="12" t="s">
        <v>337</v>
      </c>
      <c r="G15" s="24" t="n">
        <f aca="false">$C15*등급!$E$7</f>
        <v>0.1</v>
      </c>
      <c r="H15" s="24" t="n">
        <f aca="false">$C15*등급!$E$8</f>
        <v>0.115</v>
      </c>
      <c r="I15" s="24" t="n">
        <f aca="false">$C15*등급!$E$9</f>
        <v>0.13</v>
      </c>
      <c r="J15" s="24" t="n">
        <f aca="false">$C15*등급!$E$10</f>
        <v>0.15</v>
      </c>
      <c r="K15" s="24" t="n">
        <f aca="false">$C15*등급!$E$11</f>
        <v>0.155</v>
      </c>
      <c r="L15" s="24" t="n">
        <f aca="false">$C15*등급!$E$12</f>
        <v>0.158</v>
      </c>
      <c r="M15" s="24" t="n">
        <f aca="false">$D15*등급!$E$7</f>
        <v>0.15</v>
      </c>
      <c r="N15" s="24" t="n">
        <f aca="false">$D15*등급!$E$8</f>
        <v>0.1725</v>
      </c>
      <c r="O15" s="24" t="n">
        <f aca="false">$D15*등급!$E$9</f>
        <v>0.195</v>
      </c>
      <c r="P15" s="24" t="n">
        <f aca="false">$D15*등급!$E$10</f>
        <v>0.225</v>
      </c>
      <c r="Q15" s="24" t="n">
        <f aca="false">$D15*등급!$E$11</f>
        <v>0.2325</v>
      </c>
      <c r="R15" s="24" t="n">
        <f aca="false">$D15*등급!$E$12</f>
        <v>0.237</v>
      </c>
      <c r="S15" s="25" t="n">
        <f aca="false">(C15+D15)/2*100*스탯!$D$17</f>
        <v>1</v>
      </c>
    </row>
    <row r="16" customFormat="false" ht="15" hidden="false" customHeight="false" outlineLevel="0" collapsed="false">
      <c r="A16" s="13" t="s">
        <v>106</v>
      </c>
      <c r="B16" s="16" t="s">
        <v>107</v>
      </c>
      <c r="C16" s="23" t="n">
        <v>0.15</v>
      </c>
      <c r="D16" s="23" t="n">
        <v>0.22</v>
      </c>
      <c r="E16" s="10" t="n">
        <v>5</v>
      </c>
      <c r="F16" s="12" t="s">
        <v>338</v>
      </c>
      <c r="G16" s="24" t="n">
        <f aca="false">$C16*등급!$E$7</f>
        <v>0.15</v>
      </c>
      <c r="H16" s="24" t="n">
        <f aca="false">$C16*등급!$E$8</f>
        <v>0.1725</v>
      </c>
      <c r="I16" s="24" t="n">
        <f aca="false">$C16*등급!$E$9</f>
        <v>0.195</v>
      </c>
      <c r="J16" s="24" t="n">
        <f aca="false">$C16*등급!$E$10</f>
        <v>0.225</v>
      </c>
      <c r="K16" s="24" t="n">
        <f aca="false">$C16*등급!$E$11</f>
        <v>0.2325</v>
      </c>
      <c r="L16" s="24" t="n">
        <f aca="false">$C16*등급!$E$12</f>
        <v>0.237</v>
      </c>
      <c r="M16" s="24" t="n">
        <f aca="false">$D16*등급!$E$7</f>
        <v>0.22</v>
      </c>
      <c r="N16" s="24" t="n">
        <f aca="false">$D16*등급!$E$8</f>
        <v>0.253</v>
      </c>
      <c r="O16" s="24" t="n">
        <f aca="false">$D16*등급!$E$9</f>
        <v>0.286</v>
      </c>
      <c r="P16" s="24" t="n">
        <f aca="false">$D16*등급!$E$10</f>
        <v>0.33</v>
      </c>
      <c r="Q16" s="24" t="n">
        <f aca="false">$D16*등급!$E$11</f>
        <v>0.341</v>
      </c>
      <c r="R16" s="24" t="n">
        <f aca="false">$D16*등급!$E$12</f>
        <v>0.3476</v>
      </c>
      <c r="S16" s="25" t="n">
        <f aca="false">(C16+D16)/2*100*스탯!$D$18</f>
        <v>1.11</v>
      </c>
    </row>
    <row r="17" customFormat="false" ht="15" hidden="false" customHeight="false" outlineLevel="0" collapsed="false">
      <c r="A17" s="13" t="s">
        <v>108</v>
      </c>
      <c r="B17" s="16" t="s">
        <v>339</v>
      </c>
      <c r="C17" s="23" t="n">
        <v>0.12</v>
      </c>
      <c r="D17" s="23" t="n">
        <v>0.18</v>
      </c>
      <c r="E17" s="10" t="n">
        <v>7</v>
      </c>
      <c r="F17" s="12" t="s">
        <v>340</v>
      </c>
      <c r="G17" s="24" t="n">
        <f aca="false">$C17*등급!$E$7</f>
        <v>0.12</v>
      </c>
      <c r="H17" s="24" t="n">
        <f aca="false">$C17*등급!$E$8</f>
        <v>0.138</v>
      </c>
      <c r="I17" s="24" t="n">
        <f aca="false">$C17*등급!$E$9</f>
        <v>0.156</v>
      </c>
      <c r="J17" s="24" t="n">
        <f aca="false">$C17*등급!$E$10</f>
        <v>0.18</v>
      </c>
      <c r="K17" s="24" t="n">
        <f aca="false">$C17*등급!$E$11</f>
        <v>0.186</v>
      </c>
      <c r="L17" s="24" t="n">
        <f aca="false">$C17*등급!$E$12</f>
        <v>0.1896</v>
      </c>
      <c r="M17" s="24" t="n">
        <f aca="false">$D17*등급!$E$7</f>
        <v>0.18</v>
      </c>
      <c r="N17" s="24" t="n">
        <f aca="false">$D17*등급!$E$8</f>
        <v>0.207</v>
      </c>
      <c r="O17" s="24" t="n">
        <f aca="false">$D17*등급!$E$9</f>
        <v>0.234</v>
      </c>
      <c r="P17" s="24" t="n">
        <f aca="false">$D17*등급!$E$10</f>
        <v>0.27</v>
      </c>
      <c r="Q17" s="24" t="n">
        <f aca="false">$D17*등급!$E$11</f>
        <v>0.279</v>
      </c>
      <c r="R17" s="24" t="n">
        <f aca="false">$D17*등급!$E$12</f>
        <v>0.2844</v>
      </c>
      <c r="S17" s="25" t="n">
        <f aca="false">(C17+D17)/2*100*스탯!$D$19</f>
        <v>1.5</v>
      </c>
    </row>
    <row r="18" customFormat="false" ht="15" hidden="false" customHeight="false" outlineLevel="0" collapsed="false">
      <c r="A18" s="13" t="s">
        <v>111</v>
      </c>
      <c r="B18" s="16" t="s">
        <v>112</v>
      </c>
      <c r="C18" s="23" t="n">
        <v>0.12</v>
      </c>
      <c r="D18" s="23" t="n">
        <v>0.18</v>
      </c>
      <c r="E18" s="10" t="n">
        <v>9</v>
      </c>
      <c r="F18" s="12" t="s">
        <v>330</v>
      </c>
      <c r="G18" s="24" t="n">
        <f aca="false">$C18*등급!$E$7</f>
        <v>0.12</v>
      </c>
      <c r="H18" s="24" t="n">
        <f aca="false">$C18*등급!$E$8</f>
        <v>0.138</v>
      </c>
      <c r="I18" s="24" t="n">
        <f aca="false">$C18*등급!$E$9</f>
        <v>0.156</v>
      </c>
      <c r="J18" s="24" t="n">
        <f aca="false">$C18*등급!$E$10</f>
        <v>0.18</v>
      </c>
      <c r="K18" s="24" t="n">
        <f aca="false">$C18*등급!$E$11</f>
        <v>0.186</v>
      </c>
      <c r="L18" s="24" t="n">
        <f aca="false">$C18*등급!$E$12</f>
        <v>0.1896</v>
      </c>
      <c r="M18" s="24" t="n">
        <f aca="false">$D18*등급!$E$7</f>
        <v>0.18</v>
      </c>
      <c r="N18" s="24" t="n">
        <f aca="false">$D18*등급!$E$8</f>
        <v>0.207</v>
      </c>
      <c r="O18" s="24" t="n">
        <f aca="false">$D18*등급!$E$9</f>
        <v>0.234</v>
      </c>
      <c r="P18" s="24" t="n">
        <f aca="false">$D18*등급!$E$10</f>
        <v>0.27</v>
      </c>
      <c r="Q18" s="24" t="n">
        <f aca="false">$D18*등급!$E$11</f>
        <v>0.279</v>
      </c>
      <c r="R18" s="24" t="n">
        <f aca="false">$D18*등급!$E$12</f>
        <v>0.2844</v>
      </c>
      <c r="S18" s="25" t="n">
        <f aca="false">(C18+D18)/2*100*스탯!$D$20</f>
        <v>1.5</v>
      </c>
    </row>
    <row r="19" customFormat="false" ht="15" hidden="false" customHeight="false" outlineLevel="0" collapsed="false">
      <c r="A19" s="13" t="s">
        <v>120</v>
      </c>
      <c r="B19" s="16" t="s">
        <v>121</v>
      </c>
      <c r="C19" s="23" t="n">
        <v>0.12</v>
      </c>
      <c r="D19" s="23" t="n">
        <v>0.18</v>
      </c>
      <c r="E19" s="10" t="n">
        <v>8</v>
      </c>
      <c r="F19" s="12" t="s">
        <v>334</v>
      </c>
      <c r="G19" s="24" t="n">
        <f aca="false">$C19*등급!$E$7</f>
        <v>0.12</v>
      </c>
      <c r="H19" s="24" t="n">
        <f aca="false">$C19*등급!$E$8</f>
        <v>0.138</v>
      </c>
      <c r="I19" s="24" t="n">
        <f aca="false">$C19*등급!$E$9</f>
        <v>0.156</v>
      </c>
      <c r="J19" s="24" t="n">
        <f aca="false">$C19*등급!$E$10</f>
        <v>0.18</v>
      </c>
      <c r="K19" s="24" t="n">
        <f aca="false">$C19*등급!$E$11</f>
        <v>0.186</v>
      </c>
      <c r="L19" s="24" t="n">
        <f aca="false">$C19*등급!$E$12</f>
        <v>0.1896</v>
      </c>
      <c r="M19" s="24" t="n">
        <f aca="false">$D19*등급!$E$7</f>
        <v>0.18</v>
      </c>
      <c r="N19" s="24" t="n">
        <f aca="false">$D19*등급!$E$8</f>
        <v>0.207</v>
      </c>
      <c r="O19" s="24" t="n">
        <f aca="false">$D19*등급!$E$9</f>
        <v>0.234</v>
      </c>
      <c r="P19" s="24" t="n">
        <f aca="false">$D19*등급!$E$10</f>
        <v>0.27</v>
      </c>
      <c r="Q19" s="24" t="n">
        <f aca="false">$D19*등급!$E$11</f>
        <v>0.279</v>
      </c>
      <c r="R19" s="24" t="n">
        <f aca="false">$D19*등급!$E$12</f>
        <v>0.2844</v>
      </c>
      <c r="S19" s="25" t="n">
        <f aca="false">(C19+D19)/2*100*스탯!$D$23</f>
        <v>1.5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customFormat="false" ht="15" hidden="false" customHeight="false" outlineLevel="0" collapsed="false">
      <c r="A21" s="22" t="s">
        <v>341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7" min="6" style="0" width="12"/>
  </cols>
  <sheetData>
    <row r="1" customFormat="false" ht="19.4" hidden="false" customHeight="false" outlineLevel="0" collapsed="false">
      <c r="A1" s="1" t="s">
        <v>342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2" t="s">
        <v>343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7" t="s">
        <v>127</v>
      </c>
      <c r="B4" s="7" t="s">
        <v>344</v>
      </c>
      <c r="C4" s="7" t="s">
        <v>55</v>
      </c>
      <c r="D4" s="15" t="s">
        <v>345</v>
      </c>
      <c r="E4" s="15" t="s">
        <v>346</v>
      </c>
      <c r="F4" s="7" t="s">
        <v>347</v>
      </c>
      <c r="G4" s="7" t="s">
        <v>348</v>
      </c>
    </row>
    <row r="5" customFormat="false" ht="15" hidden="false" customHeight="false" outlineLevel="0" collapsed="false">
      <c r="A5" s="16" t="s">
        <v>139</v>
      </c>
      <c r="B5" s="12" t="s">
        <v>349</v>
      </c>
      <c r="C5" s="12" t="s">
        <v>89</v>
      </c>
      <c r="D5" s="23" t="n">
        <v>0.02</v>
      </c>
      <c r="E5" s="11" t="n">
        <f aca="false">D5</f>
        <v>0.02</v>
      </c>
      <c r="F5" s="10" t="n">
        <v>22</v>
      </c>
      <c r="G5" s="10" t="n">
        <v>520</v>
      </c>
    </row>
    <row r="6" customFormat="false" ht="15" hidden="false" customHeight="false" outlineLevel="0" collapsed="false">
      <c r="A6" s="16" t="s">
        <v>172</v>
      </c>
      <c r="B6" s="12" t="s">
        <v>350</v>
      </c>
      <c r="C6" s="12" t="s">
        <v>95</v>
      </c>
      <c r="D6" s="23" t="n">
        <v>0.09</v>
      </c>
      <c r="E6" s="11" t="n">
        <f aca="false">D6</f>
        <v>0.09</v>
      </c>
      <c r="F6" s="10" t="n">
        <v>40</v>
      </c>
      <c r="G6" s="10" t="n">
        <v>300</v>
      </c>
    </row>
    <row r="7" customFormat="false" ht="15" hidden="false" customHeight="false" outlineLevel="0" collapsed="false">
      <c r="A7" s="16" t="s">
        <v>201</v>
      </c>
      <c r="B7" s="12" t="s">
        <v>351</v>
      </c>
      <c r="C7" s="12" t="s">
        <v>93</v>
      </c>
      <c r="D7" s="23" t="n">
        <v>0.025</v>
      </c>
      <c r="E7" s="11" t="n">
        <f aca="false">D7</f>
        <v>0.025</v>
      </c>
      <c r="F7" s="10" t="n">
        <v>36</v>
      </c>
      <c r="G7" s="10" t="n">
        <v>260</v>
      </c>
    </row>
    <row r="8" customFormat="false" ht="15" hidden="false" customHeight="false" outlineLevel="0" collapsed="false">
      <c r="A8" s="16" t="s">
        <v>229</v>
      </c>
      <c r="B8" s="12" t="s">
        <v>352</v>
      </c>
      <c r="C8" s="12" t="s">
        <v>97</v>
      </c>
      <c r="D8" s="23" t="n">
        <v>0.045</v>
      </c>
      <c r="E8" s="11" t="n">
        <f aca="false">D8</f>
        <v>0.045</v>
      </c>
      <c r="F8" s="10" t="n">
        <v>44</v>
      </c>
      <c r="G8" s="10" t="n">
        <v>240</v>
      </c>
    </row>
    <row r="9" customFormat="false" ht="15" hidden="false" customHeight="false" outlineLevel="0" collapsed="false">
      <c r="A9" s="16" t="s">
        <v>257</v>
      </c>
      <c r="B9" s="12" t="s">
        <v>353</v>
      </c>
      <c r="C9" s="12" t="s">
        <v>101</v>
      </c>
      <c r="D9" s="23" t="n">
        <v>0.06</v>
      </c>
      <c r="E9" s="11" t="n">
        <f aca="false">D9</f>
        <v>0.06</v>
      </c>
      <c r="F9" s="10" t="n">
        <v>16</v>
      </c>
      <c r="G9" s="10" t="n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8"/>
  </cols>
  <sheetData>
    <row r="1" customFormat="false" ht="19.4" hidden="false" customHeight="false" outlineLevel="0" collapsed="false">
      <c r="A1" s="1" t="s">
        <v>354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2" t="s">
        <v>355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8" t="s">
        <v>356</v>
      </c>
      <c r="B3" s="26" t="n">
        <v>1.15</v>
      </c>
      <c r="C3" s="2"/>
      <c r="D3" s="2"/>
      <c r="E3" s="2"/>
      <c r="F3" s="2"/>
      <c r="G3" s="2"/>
    </row>
    <row r="4" customFormat="false" ht="15" hidden="false" customHeight="false" outlineLevel="0" collapsed="false">
      <c r="A4" s="7" t="s">
        <v>127</v>
      </c>
      <c r="B4" s="7" t="s">
        <v>68</v>
      </c>
      <c r="C4" s="7" t="s">
        <v>357</v>
      </c>
      <c r="D4" s="15" t="s">
        <v>345</v>
      </c>
      <c r="E4" s="15" t="s">
        <v>346</v>
      </c>
      <c r="F4" s="7" t="s">
        <v>69</v>
      </c>
      <c r="G4" s="15" t="s">
        <v>358</v>
      </c>
    </row>
    <row r="5" customFormat="false" ht="15" hidden="false" customHeight="false" outlineLevel="0" collapsed="false">
      <c r="A5" s="12" t="s">
        <v>139</v>
      </c>
      <c r="B5" s="13" t="s">
        <v>359</v>
      </c>
      <c r="C5" s="12" t="s">
        <v>144</v>
      </c>
      <c r="D5" s="10" t="n">
        <v>4</v>
      </c>
      <c r="E5" s="27" t="n">
        <f aca="false">ROUND(D5*$B$3,0)</f>
        <v>5</v>
      </c>
      <c r="F5" s="13" t="s">
        <v>145</v>
      </c>
      <c r="G5" s="25" t="n">
        <f aca="false">E5/D5</f>
        <v>1.25</v>
      </c>
    </row>
    <row r="6" customFormat="false" ht="15" hidden="false" customHeight="false" outlineLevel="0" collapsed="false">
      <c r="A6" s="12" t="s">
        <v>139</v>
      </c>
      <c r="B6" s="13" t="s">
        <v>360</v>
      </c>
      <c r="C6" s="12" t="s">
        <v>361</v>
      </c>
      <c r="D6" s="10" t="n">
        <v>10</v>
      </c>
      <c r="E6" s="27" t="n">
        <f aca="false">ROUND(D6*$B$3,0)</f>
        <v>12</v>
      </c>
      <c r="F6" s="13" t="s">
        <v>85</v>
      </c>
      <c r="G6" s="25" t="n">
        <f aca="false">E6/D6</f>
        <v>1.2</v>
      </c>
    </row>
    <row r="7" customFormat="false" ht="15" hidden="false" customHeight="false" outlineLevel="0" collapsed="false">
      <c r="A7" s="12" t="s">
        <v>139</v>
      </c>
      <c r="B7" s="13" t="s">
        <v>362</v>
      </c>
      <c r="C7" s="12" t="s">
        <v>363</v>
      </c>
      <c r="D7" s="10" t="n">
        <v>15</v>
      </c>
      <c r="E7" s="27" t="n">
        <f aca="false">ROUND(D7*$B$3,0)</f>
        <v>17</v>
      </c>
      <c r="F7" s="13" t="s">
        <v>85</v>
      </c>
      <c r="G7" s="25" t="n">
        <f aca="false">E7/D7</f>
        <v>1.13333333333333</v>
      </c>
    </row>
    <row r="8" customFormat="false" ht="15" hidden="false" customHeight="false" outlineLevel="0" collapsed="false">
      <c r="A8" s="12" t="s">
        <v>139</v>
      </c>
      <c r="B8" s="13" t="s">
        <v>190</v>
      </c>
      <c r="C8" s="12" t="s">
        <v>364</v>
      </c>
      <c r="D8" s="10" t="n">
        <v>10</v>
      </c>
      <c r="E8" s="27" t="n">
        <f aca="false">ROUND(D8*$B$3,0)</f>
        <v>12</v>
      </c>
      <c r="F8" s="13" t="s">
        <v>85</v>
      </c>
      <c r="G8" s="25" t="n">
        <f aca="false">E8/D8</f>
        <v>1.2</v>
      </c>
    </row>
    <row r="9" customFormat="false" ht="15" hidden="false" customHeight="false" outlineLevel="0" collapsed="false">
      <c r="A9" s="12" t="s">
        <v>139</v>
      </c>
      <c r="B9" s="13" t="s">
        <v>211</v>
      </c>
      <c r="C9" s="12" t="s">
        <v>365</v>
      </c>
      <c r="D9" s="10" t="n">
        <v>5</v>
      </c>
      <c r="E9" s="27" t="n">
        <f aca="false">ROUND(D9*$B$3,0)</f>
        <v>6</v>
      </c>
      <c r="F9" s="13" t="s">
        <v>145</v>
      </c>
      <c r="G9" s="25" t="n">
        <f aca="false">E9/D9</f>
        <v>1.2</v>
      </c>
    </row>
    <row r="10" customFormat="false" ht="15" hidden="false" customHeight="false" outlineLevel="0" collapsed="false">
      <c r="A10" s="12" t="s">
        <v>139</v>
      </c>
      <c r="B10" s="13" t="s">
        <v>274</v>
      </c>
      <c r="C10" s="12" t="s">
        <v>366</v>
      </c>
      <c r="D10" s="10" t="n">
        <v>1</v>
      </c>
      <c r="E10" s="10" t="n">
        <v>1.1</v>
      </c>
      <c r="F10" s="12" t="s">
        <v>159</v>
      </c>
      <c r="G10" s="25" t="n">
        <f aca="false">E10/D10</f>
        <v>1.1</v>
      </c>
    </row>
    <row r="11" customFormat="false" ht="15" hidden="false" customHeight="false" outlineLevel="0" collapsed="false">
      <c r="A11" s="12" t="s">
        <v>172</v>
      </c>
      <c r="B11" s="13" t="s">
        <v>359</v>
      </c>
      <c r="C11" s="12" t="s">
        <v>367</v>
      </c>
      <c r="D11" s="10" t="n">
        <v>15</v>
      </c>
      <c r="E11" s="27" t="n">
        <f aca="false">ROUND(D11*$B$3,0)</f>
        <v>17</v>
      </c>
      <c r="F11" s="13" t="s">
        <v>85</v>
      </c>
      <c r="G11" s="25" t="n">
        <f aca="false">E11/D11</f>
        <v>1.13333333333333</v>
      </c>
    </row>
    <row r="12" customFormat="false" ht="15" hidden="false" customHeight="false" outlineLevel="0" collapsed="false">
      <c r="A12" s="12" t="s">
        <v>172</v>
      </c>
      <c r="B12" s="13" t="s">
        <v>360</v>
      </c>
      <c r="C12" s="12" t="s">
        <v>368</v>
      </c>
      <c r="D12" s="10" t="n">
        <v>10</v>
      </c>
      <c r="E12" s="27" t="n">
        <f aca="false">ROUND(D12*$B$3,0)</f>
        <v>12</v>
      </c>
      <c r="F12" s="13" t="s">
        <v>85</v>
      </c>
      <c r="G12" s="25" t="n">
        <f aca="false">E12/D12</f>
        <v>1.2</v>
      </c>
    </row>
    <row r="13" customFormat="false" ht="15" hidden="false" customHeight="false" outlineLevel="0" collapsed="false">
      <c r="A13" s="12" t="s">
        <v>172</v>
      </c>
      <c r="B13" s="13" t="s">
        <v>362</v>
      </c>
      <c r="C13" s="12" t="s">
        <v>369</v>
      </c>
      <c r="D13" s="10" t="n">
        <v>15</v>
      </c>
      <c r="E13" s="27" t="n">
        <f aca="false">ROUND(D13*$B$3,0)</f>
        <v>17</v>
      </c>
      <c r="F13" s="13" t="s">
        <v>85</v>
      </c>
      <c r="G13" s="25" t="n">
        <f aca="false">E13/D13</f>
        <v>1.13333333333333</v>
      </c>
    </row>
    <row r="14" customFormat="false" ht="15" hidden="false" customHeight="false" outlineLevel="0" collapsed="false">
      <c r="A14" s="12" t="s">
        <v>172</v>
      </c>
      <c r="B14" s="13" t="s">
        <v>190</v>
      </c>
      <c r="C14" s="12" t="s">
        <v>189</v>
      </c>
      <c r="D14" s="10" t="n">
        <v>10</v>
      </c>
      <c r="E14" s="27" t="n">
        <f aca="false">ROUND(D14*$B$3,0)</f>
        <v>12</v>
      </c>
      <c r="F14" s="13" t="s">
        <v>85</v>
      </c>
      <c r="G14" s="25" t="n">
        <f aca="false">E14/D14</f>
        <v>1.2</v>
      </c>
    </row>
    <row r="15" customFormat="false" ht="15" hidden="false" customHeight="false" outlineLevel="0" collapsed="false">
      <c r="A15" s="12" t="s">
        <v>172</v>
      </c>
      <c r="B15" s="13" t="s">
        <v>211</v>
      </c>
      <c r="C15" s="12" t="s">
        <v>370</v>
      </c>
      <c r="D15" s="10" t="n">
        <v>15</v>
      </c>
      <c r="E15" s="27" t="n">
        <f aca="false">ROUND(D15*$B$3,0)</f>
        <v>17</v>
      </c>
      <c r="F15" s="13" t="s">
        <v>85</v>
      </c>
      <c r="G15" s="25" t="n">
        <f aca="false">E15/D15</f>
        <v>1.13333333333333</v>
      </c>
    </row>
    <row r="16" customFormat="false" ht="15" hidden="false" customHeight="false" outlineLevel="0" collapsed="false">
      <c r="A16" s="12" t="s">
        <v>172</v>
      </c>
      <c r="B16" s="13" t="s">
        <v>371</v>
      </c>
      <c r="C16" s="12" t="s">
        <v>372</v>
      </c>
      <c r="D16" s="10" t="n">
        <v>1</v>
      </c>
      <c r="E16" s="10" t="n">
        <v>2</v>
      </c>
      <c r="F16" s="12" t="s">
        <v>373</v>
      </c>
      <c r="G16" s="25" t="n">
        <f aca="false">E16/D16</f>
        <v>2</v>
      </c>
    </row>
    <row r="17" customFormat="false" ht="15" hidden="false" customHeight="false" outlineLevel="0" collapsed="false">
      <c r="A17" s="12" t="s">
        <v>201</v>
      </c>
      <c r="B17" s="13" t="s">
        <v>359</v>
      </c>
      <c r="C17" s="12" t="s">
        <v>374</v>
      </c>
      <c r="D17" s="10" t="n">
        <v>15</v>
      </c>
      <c r="E17" s="27" t="n">
        <f aca="false">ROUND(D17*$B$3,0)</f>
        <v>17</v>
      </c>
      <c r="F17" s="13" t="s">
        <v>85</v>
      </c>
      <c r="G17" s="25" t="n">
        <f aca="false">E17/D17</f>
        <v>1.13333333333333</v>
      </c>
    </row>
    <row r="18" customFormat="false" ht="15" hidden="false" customHeight="false" outlineLevel="0" collapsed="false">
      <c r="A18" s="12" t="s">
        <v>201</v>
      </c>
      <c r="B18" s="13" t="s">
        <v>360</v>
      </c>
      <c r="C18" s="12" t="s">
        <v>375</v>
      </c>
      <c r="D18" s="10" t="n">
        <v>10</v>
      </c>
      <c r="E18" s="27" t="n">
        <f aca="false">ROUND(D18*$B$3,0)</f>
        <v>12</v>
      </c>
      <c r="F18" s="13" t="s">
        <v>85</v>
      </c>
      <c r="G18" s="25" t="n">
        <f aca="false">E18/D18</f>
        <v>1.2</v>
      </c>
    </row>
    <row r="19" customFormat="false" ht="15" hidden="false" customHeight="false" outlineLevel="0" collapsed="false">
      <c r="A19" s="12" t="s">
        <v>201</v>
      </c>
      <c r="B19" s="13" t="s">
        <v>362</v>
      </c>
      <c r="C19" s="12" t="s">
        <v>376</v>
      </c>
      <c r="D19" s="10" t="n">
        <v>15</v>
      </c>
      <c r="E19" s="27" t="n">
        <f aca="false">ROUND(D19*$B$3,0)</f>
        <v>17</v>
      </c>
      <c r="F19" s="13" t="s">
        <v>85</v>
      </c>
      <c r="G19" s="25" t="n">
        <f aca="false">E19/D19</f>
        <v>1.13333333333333</v>
      </c>
    </row>
    <row r="20" customFormat="false" ht="15" hidden="false" customHeight="false" outlineLevel="0" collapsed="false">
      <c r="A20" s="12" t="s">
        <v>201</v>
      </c>
      <c r="B20" s="13" t="s">
        <v>190</v>
      </c>
      <c r="C20" s="12" t="s">
        <v>377</v>
      </c>
      <c r="D20" s="10" t="n">
        <v>10</v>
      </c>
      <c r="E20" s="27" t="n">
        <f aca="false">ROUND(D20*$B$3,0)</f>
        <v>12</v>
      </c>
      <c r="F20" s="13" t="s">
        <v>85</v>
      </c>
      <c r="G20" s="25" t="n">
        <f aca="false">E20/D20</f>
        <v>1.2</v>
      </c>
    </row>
    <row r="21" customFormat="false" ht="15" hidden="false" customHeight="false" outlineLevel="0" collapsed="false">
      <c r="A21" s="12" t="s">
        <v>201</v>
      </c>
      <c r="B21" s="13" t="s">
        <v>211</v>
      </c>
      <c r="C21" s="12" t="s">
        <v>210</v>
      </c>
      <c r="D21" s="10" t="n">
        <v>15</v>
      </c>
      <c r="E21" s="27" t="n">
        <f aca="false">ROUND(D21*$B$3,0)</f>
        <v>17</v>
      </c>
      <c r="F21" s="13" t="s">
        <v>85</v>
      </c>
      <c r="G21" s="25" t="n">
        <f aca="false">E21/D21</f>
        <v>1.13333333333333</v>
      </c>
    </row>
    <row r="22" customFormat="false" ht="15" hidden="false" customHeight="false" outlineLevel="0" collapsed="false">
      <c r="A22" s="12" t="s">
        <v>201</v>
      </c>
      <c r="B22" s="13" t="s">
        <v>378</v>
      </c>
      <c r="C22" s="12" t="s">
        <v>379</v>
      </c>
      <c r="D22" s="10" t="n">
        <v>12</v>
      </c>
      <c r="E22" s="27" t="n">
        <f aca="false">ROUND(D22*$B$3,0)</f>
        <v>14</v>
      </c>
      <c r="F22" s="13" t="s">
        <v>85</v>
      </c>
      <c r="G22" s="25" t="n">
        <f aca="false">E22/D22</f>
        <v>1.16666666666667</v>
      </c>
    </row>
    <row r="23" customFormat="false" ht="15" hidden="false" customHeight="false" outlineLevel="0" collapsed="false">
      <c r="A23" s="12" t="s">
        <v>229</v>
      </c>
      <c r="B23" s="13" t="s">
        <v>359</v>
      </c>
      <c r="C23" s="12" t="s">
        <v>380</v>
      </c>
      <c r="D23" s="10" t="n">
        <v>15</v>
      </c>
      <c r="E23" s="27" t="n">
        <f aca="false">ROUND(D23*$B$3,0)</f>
        <v>17</v>
      </c>
      <c r="F23" s="13" t="s">
        <v>85</v>
      </c>
      <c r="G23" s="25" t="n">
        <f aca="false">E23/D23</f>
        <v>1.13333333333333</v>
      </c>
    </row>
    <row r="24" customFormat="false" ht="15" hidden="false" customHeight="false" outlineLevel="0" collapsed="false">
      <c r="A24" s="12" t="s">
        <v>229</v>
      </c>
      <c r="B24" s="13" t="s">
        <v>360</v>
      </c>
      <c r="C24" s="12" t="s">
        <v>381</v>
      </c>
      <c r="D24" s="10" t="n">
        <v>10</v>
      </c>
      <c r="E24" s="27" t="n">
        <f aca="false">ROUND(D24*$B$3,0)</f>
        <v>12</v>
      </c>
      <c r="F24" s="13" t="s">
        <v>85</v>
      </c>
      <c r="G24" s="25" t="n">
        <f aca="false">E24/D24</f>
        <v>1.2</v>
      </c>
    </row>
    <row r="25" customFormat="false" ht="15" hidden="false" customHeight="false" outlineLevel="0" collapsed="false">
      <c r="A25" s="12" t="s">
        <v>229</v>
      </c>
      <c r="B25" s="13" t="s">
        <v>362</v>
      </c>
      <c r="C25" s="12" t="s">
        <v>382</v>
      </c>
      <c r="D25" s="10" t="n">
        <v>15</v>
      </c>
      <c r="E25" s="27" t="n">
        <f aca="false">ROUND(D25*$B$3,0)</f>
        <v>17</v>
      </c>
      <c r="F25" s="13" t="s">
        <v>85</v>
      </c>
      <c r="G25" s="25" t="n">
        <f aca="false">E25/D25</f>
        <v>1.13333333333333</v>
      </c>
    </row>
    <row r="26" customFormat="false" ht="15" hidden="false" customHeight="false" outlineLevel="0" collapsed="false">
      <c r="A26" s="12" t="s">
        <v>229</v>
      </c>
      <c r="B26" s="13" t="s">
        <v>190</v>
      </c>
      <c r="C26" s="12" t="s">
        <v>383</v>
      </c>
      <c r="D26" s="10" t="n">
        <v>10</v>
      </c>
      <c r="E26" s="27" t="n">
        <f aca="false">ROUND(D26*$B$3,0)</f>
        <v>12</v>
      </c>
      <c r="F26" s="13" t="s">
        <v>85</v>
      </c>
      <c r="G26" s="25" t="n">
        <f aca="false">E26/D26</f>
        <v>1.2</v>
      </c>
    </row>
    <row r="27" customFormat="false" ht="15" hidden="false" customHeight="false" outlineLevel="0" collapsed="false">
      <c r="A27" s="12" t="s">
        <v>229</v>
      </c>
      <c r="B27" s="13" t="s">
        <v>211</v>
      </c>
      <c r="C27" s="12" t="s">
        <v>384</v>
      </c>
      <c r="D27" s="10" t="n">
        <v>15</v>
      </c>
      <c r="E27" s="27" t="n">
        <f aca="false">ROUND(D27*$B$3,0)</f>
        <v>17</v>
      </c>
      <c r="F27" s="13" t="s">
        <v>85</v>
      </c>
      <c r="G27" s="25" t="n">
        <f aca="false">E27/D27</f>
        <v>1.13333333333333</v>
      </c>
    </row>
    <row r="28" customFormat="false" ht="15" hidden="false" customHeight="false" outlineLevel="0" collapsed="false">
      <c r="A28" s="12" t="s">
        <v>229</v>
      </c>
      <c r="B28" s="13" t="s">
        <v>378</v>
      </c>
      <c r="C28" s="12" t="s">
        <v>379</v>
      </c>
      <c r="D28" s="10" t="n">
        <v>12</v>
      </c>
      <c r="E28" s="27" t="n">
        <f aca="false">ROUND(D28*$B$3,0)</f>
        <v>14</v>
      </c>
      <c r="F28" s="13" t="s">
        <v>85</v>
      </c>
      <c r="G28" s="25" t="n">
        <f aca="false">E28/D28</f>
        <v>1.16666666666667</v>
      </c>
    </row>
    <row r="29" customFormat="false" ht="15" hidden="false" customHeight="false" outlineLevel="0" collapsed="false">
      <c r="A29" s="12" t="s">
        <v>257</v>
      </c>
      <c r="B29" s="13" t="s">
        <v>359</v>
      </c>
      <c r="C29" s="12" t="s">
        <v>258</v>
      </c>
      <c r="D29" s="10" t="n">
        <v>15</v>
      </c>
      <c r="E29" s="27" t="n">
        <f aca="false">ROUND(D29*$B$3,0)</f>
        <v>17</v>
      </c>
      <c r="F29" s="13" t="s">
        <v>85</v>
      </c>
      <c r="G29" s="25" t="n">
        <f aca="false">E29/D29</f>
        <v>1.13333333333333</v>
      </c>
    </row>
    <row r="30" customFormat="false" ht="15" hidden="false" customHeight="false" outlineLevel="0" collapsed="false">
      <c r="A30" s="12" t="s">
        <v>257</v>
      </c>
      <c r="B30" s="13" t="s">
        <v>360</v>
      </c>
      <c r="C30" s="12" t="s">
        <v>385</v>
      </c>
      <c r="D30" s="10" t="n">
        <v>10</v>
      </c>
      <c r="E30" s="27" t="n">
        <f aca="false">ROUND(D30*$B$3,0)</f>
        <v>12</v>
      </c>
      <c r="F30" s="13" t="s">
        <v>85</v>
      </c>
      <c r="G30" s="25" t="n">
        <f aca="false">E30/D30</f>
        <v>1.2</v>
      </c>
    </row>
    <row r="31" customFormat="false" ht="15" hidden="false" customHeight="false" outlineLevel="0" collapsed="false">
      <c r="A31" s="12" t="s">
        <v>257</v>
      </c>
      <c r="B31" s="13" t="s">
        <v>362</v>
      </c>
      <c r="C31" s="12" t="s">
        <v>386</v>
      </c>
      <c r="D31" s="10" t="n">
        <v>15</v>
      </c>
      <c r="E31" s="27" t="n">
        <f aca="false">ROUND(D31*$B$3,0)</f>
        <v>17</v>
      </c>
      <c r="F31" s="13" t="s">
        <v>85</v>
      </c>
      <c r="G31" s="25" t="n">
        <f aca="false">E31/D31</f>
        <v>1.13333333333333</v>
      </c>
    </row>
    <row r="32" customFormat="false" ht="15" hidden="false" customHeight="false" outlineLevel="0" collapsed="false">
      <c r="A32" s="12" t="s">
        <v>257</v>
      </c>
      <c r="B32" s="13" t="s">
        <v>190</v>
      </c>
      <c r="C32" s="12" t="s">
        <v>387</v>
      </c>
      <c r="D32" s="10" t="n">
        <v>10</v>
      </c>
      <c r="E32" s="27" t="n">
        <f aca="false">ROUND(D32*$B$3,0)</f>
        <v>12</v>
      </c>
      <c r="F32" s="13" t="s">
        <v>85</v>
      </c>
      <c r="G32" s="25" t="n">
        <f aca="false">E32/D32</f>
        <v>1.2</v>
      </c>
    </row>
    <row r="33" customFormat="false" ht="15" hidden="false" customHeight="false" outlineLevel="0" collapsed="false">
      <c r="A33" s="12" t="s">
        <v>257</v>
      </c>
      <c r="B33" s="13" t="s">
        <v>211</v>
      </c>
      <c r="C33" s="12" t="s">
        <v>388</v>
      </c>
      <c r="D33" s="10" t="n">
        <v>15</v>
      </c>
      <c r="E33" s="27" t="n">
        <f aca="false">ROUND(D33*$B$3,0)</f>
        <v>17</v>
      </c>
      <c r="F33" s="13" t="s">
        <v>85</v>
      </c>
      <c r="G33" s="25" t="n">
        <f aca="false">E33/D33</f>
        <v>1.13333333333333</v>
      </c>
    </row>
    <row r="34" customFormat="false" ht="15" hidden="false" customHeight="false" outlineLevel="0" collapsed="false">
      <c r="A34" s="12" t="s">
        <v>257</v>
      </c>
      <c r="B34" s="13" t="s">
        <v>274</v>
      </c>
      <c r="C34" s="12" t="s">
        <v>273</v>
      </c>
      <c r="D34" s="10" t="n">
        <v>1</v>
      </c>
      <c r="E34" s="10" t="n">
        <v>1.1</v>
      </c>
      <c r="F34" s="12" t="s">
        <v>159</v>
      </c>
      <c r="G34" s="25" t="n">
        <f aca="false">E34/D34</f>
        <v>1.1</v>
      </c>
    </row>
    <row r="35" customFormat="false" ht="15" hidden="false" customHeight="false" outlineLevel="0" collapsed="false">
      <c r="A35" s="12" t="s">
        <v>286</v>
      </c>
      <c r="B35" s="13" t="s">
        <v>359</v>
      </c>
      <c r="C35" s="12" t="s">
        <v>389</v>
      </c>
      <c r="D35" s="10" t="n">
        <v>10</v>
      </c>
      <c r="E35" s="27" t="n">
        <f aca="false">ROUND(D35*$B$3,0)</f>
        <v>12</v>
      </c>
      <c r="F35" s="13" t="s">
        <v>85</v>
      </c>
      <c r="G35" s="25" t="n">
        <f aca="false">E35/D35</f>
        <v>1.2</v>
      </c>
    </row>
    <row r="36" customFormat="false" ht="15" hidden="false" customHeight="false" outlineLevel="0" collapsed="false">
      <c r="A36" s="12" t="s">
        <v>286</v>
      </c>
      <c r="B36" s="13" t="s">
        <v>362</v>
      </c>
      <c r="C36" s="12" t="s">
        <v>390</v>
      </c>
      <c r="D36" s="10" t="n">
        <v>10</v>
      </c>
      <c r="E36" s="27" t="n">
        <f aca="false">ROUND(D36*$B$3,0)</f>
        <v>12</v>
      </c>
      <c r="F36" s="13" t="s">
        <v>85</v>
      </c>
      <c r="G36" s="25" t="n">
        <f aca="false">E36/D36</f>
        <v>1.2</v>
      </c>
    </row>
    <row r="37" customFormat="false" ht="15" hidden="false" customHeight="false" outlineLevel="0" collapsed="false">
      <c r="A37" s="12" t="s">
        <v>286</v>
      </c>
      <c r="B37" s="13" t="s">
        <v>211</v>
      </c>
      <c r="C37" s="12" t="s">
        <v>391</v>
      </c>
      <c r="D37" s="10" t="n">
        <v>10</v>
      </c>
      <c r="E37" s="27" t="n">
        <f aca="false">ROUND(D37*$B$3,0)</f>
        <v>12</v>
      </c>
      <c r="F37" s="13" t="s">
        <v>85</v>
      </c>
      <c r="G37" s="25" t="n">
        <f aca="false">E37/D37</f>
        <v>1.2</v>
      </c>
    </row>
    <row r="38" customFormat="false" ht="15" hidden="false" customHeight="false" outlineLevel="0" collapsed="false">
      <c r="A38" s="12" t="s">
        <v>286</v>
      </c>
      <c r="B38" s="13" t="s">
        <v>360</v>
      </c>
      <c r="C38" s="12" t="s">
        <v>392</v>
      </c>
      <c r="D38" s="10" t="n">
        <v>7</v>
      </c>
      <c r="E38" s="27" t="n">
        <f aca="false">ROUND(D38*$B$3,0)</f>
        <v>8</v>
      </c>
      <c r="F38" s="13" t="s">
        <v>85</v>
      </c>
      <c r="G38" s="25" t="n">
        <f aca="false">E38/D38</f>
        <v>1.14285714285714</v>
      </c>
    </row>
    <row r="39" customFormat="false" ht="15" hidden="false" customHeight="false" outlineLevel="0" collapsed="false">
      <c r="A39" s="12" t="s">
        <v>286</v>
      </c>
      <c r="B39" s="13" t="s">
        <v>190</v>
      </c>
      <c r="C39" s="12" t="s">
        <v>393</v>
      </c>
      <c r="D39" s="10" t="n">
        <v>7</v>
      </c>
      <c r="E39" s="27" t="n">
        <f aca="false">ROUND(D39*$B$3,0)</f>
        <v>8</v>
      </c>
      <c r="F39" s="13" t="s">
        <v>85</v>
      </c>
      <c r="G39" s="25" t="n">
        <f aca="false">E39/D39</f>
        <v>1.14285714285714</v>
      </c>
    </row>
    <row r="40" customFormat="false" ht="15" hidden="false" customHeight="false" outlineLevel="0" collapsed="false">
      <c r="A40" s="12" t="s">
        <v>286</v>
      </c>
      <c r="B40" s="13" t="s">
        <v>378</v>
      </c>
      <c r="C40" s="12" t="s">
        <v>379</v>
      </c>
      <c r="D40" s="10" t="n">
        <v>8</v>
      </c>
      <c r="E40" s="27" t="n">
        <f aca="false">ROUND(D40*$B$3,0)</f>
        <v>9</v>
      </c>
      <c r="F40" s="13" t="s">
        <v>85</v>
      </c>
      <c r="G40" s="25" t="n">
        <f aca="false">E40/D40</f>
        <v>1.125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6"/>
    <col collapsed="false" customWidth="true" hidden="false" outlineLevel="0" max="12" min="4" style="0" width="9"/>
  </cols>
  <sheetData>
    <row r="1" customFormat="false" ht="19.4" hidden="false" customHeight="false" outlineLevel="0" collapsed="false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6" t="s">
        <v>395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16" t="s">
        <v>396</v>
      </c>
      <c r="B3" s="26" t="n">
        <v>0.6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7" t="s">
        <v>68</v>
      </c>
      <c r="B4" s="7" t="s">
        <v>397</v>
      </c>
      <c r="C4" s="7" t="s">
        <v>398</v>
      </c>
      <c r="D4" s="7" t="s">
        <v>399</v>
      </c>
      <c r="E4" s="15" t="s">
        <v>43</v>
      </c>
      <c r="F4" s="15" t="s">
        <v>44</v>
      </c>
      <c r="G4" s="15" t="s">
        <v>45</v>
      </c>
      <c r="H4" s="15" t="s">
        <v>46</v>
      </c>
      <c r="I4" s="15" t="s">
        <v>47</v>
      </c>
      <c r="J4" s="15" t="s">
        <v>48</v>
      </c>
      <c r="K4" s="15" t="s">
        <v>49</v>
      </c>
      <c r="L4" s="15" t="s">
        <v>51</v>
      </c>
    </row>
    <row r="5" customFormat="false" ht="15" hidden="false" customHeight="false" outlineLevel="0" collapsed="false">
      <c r="A5" s="13" t="s">
        <v>400</v>
      </c>
      <c r="B5" s="16" t="s">
        <v>401</v>
      </c>
      <c r="C5" s="12" t="s">
        <v>84</v>
      </c>
      <c r="D5" s="18" t="n">
        <v>0.008</v>
      </c>
      <c r="E5" s="28" t="n">
        <f aca="false">$D5*등급!$N$5</f>
        <v>0.008</v>
      </c>
      <c r="F5" s="28" t="n">
        <f aca="false">$D5*등급!$N$6</f>
        <v>0.01</v>
      </c>
      <c r="G5" s="28" t="n">
        <f aca="false">$D5*등급!$N$7</f>
        <v>0.012</v>
      </c>
      <c r="H5" s="28" t="n">
        <f aca="false">$D5*등급!$N$8</f>
        <v>0.0144</v>
      </c>
      <c r="I5" s="28" t="n">
        <f aca="false">$D5*등급!$N$9</f>
        <v>0.0168</v>
      </c>
      <c r="J5" s="28" t="n">
        <f aca="false">$D5*등급!$N$10</f>
        <v>0.0192</v>
      </c>
      <c r="K5" s="28" t="n">
        <f aca="false">$D5*등급!$N$11</f>
        <v>0.0212</v>
      </c>
      <c r="L5" s="28" t="n">
        <f aca="false">$D5*등급!$N$12</f>
        <v>0.0232</v>
      </c>
    </row>
    <row r="6" customFormat="false" ht="15" hidden="false" customHeight="false" outlineLevel="0" collapsed="false">
      <c r="A6" s="13" t="s">
        <v>402</v>
      </c>
      <c r="B6" s="16" t="s">
        <v>403</v>
      </c>
      <c r="C6" s="12" t="s">
        <v>87</v>
      </c>
      <c r="D6" s="18" t="n">
        <v>0.01</v>
      </c>
      <c r="E6" s="28" t="n">
        <f aca="false">$D6*등급!$N$5</f>
        <v>0.01</v>
      </c>
      <c r="F6" s="28" t="n">
        <f aca="false">$D6*등급!$N$6</f>
        <v>0.0125</v>
      </c>
      <c r="G6" s="28" t="n">
        <f aca="false">$D6*등급!$N$7</f>
        <v>0.015</v>
      </c>
      <c r="H6" s="28" t="n">
        <f aca="false">$D6*등급!$N$8</f>
        <v>0.018</v>
      </c>
      <c r="I6" s="28" t="n">
        <f aca="false">$D6*등급!$N$9</f>
        <v>0.021</v>
      </c>
      <c r="J6" s="28" t="n">
        <f aca="false">$D6*등급!$N$10</f>
        <v>0.024</v>
      </c>
      <c r="K6" s="28" t="n">
        <f aca="false">$D6*등급!$N$11</f>
        <v>0.0265</v>
      </c>
      <c r="L6" s="28" t="n">
        <f aca="false">$D6*등급!$N$12</f>
        <v>0.029</v>
      </c>
    </row>
    <row r="7" customFormat="false" ht="15" hidden="false" customHeight="false" outlineLevel="0" collapsed="false">
      <c r="A7" s="13" t="s">
        <v>404</v>
      </c>
      <c r="B7" s="16" t="s">
        <v>405</v>
      </c>
      <c r="C7" s="12" t="s">
        <v>99</v>
      </c>
      <c r="D7" s="18" t="n">
        <v>0.004</v>
      </c>
      <c r="E7" s="28" t="n">
        <f aca="false">$D7*등급!$N$5</f>
        <v>0.004</v>
      </c>
      <c r="F7" s="28" t="n">
        <f aca="false">$D7*등급!$N$6</f>
        <v>0.005</v>
      </c>
      <c r="G7" s="28" t="n">
        <f aca="false">$D7*등급!$N$7</f>
        <v>0.006</v>
      </c>
      <c r="H7" s="28" t="n">
        <f aca="false">$D7*등급!$N$8</f>
        <v>0.0072</v>
      </c>
      <c r="I7" s="28" t="n">
        <f aca="false">$D7*등급!$N$9</f>
        <v>0.0084</v>
      </c>
      <c r="J7" s="28" t="n">
        <f aca="false">$D7*등급!$N$10</f>
        <v>0.0096</v>
      </c>
      <c r="K7" s="28" t="n">
        <f aca="false">$D7*등급!$N$11</f>
        <v>0.0106</v>
      </c>
      <c r="L7" s="28" t="n">
        <f aca="false">$D7*등급!$N$12</f>
        <v>0.0116</v>
      </c>
    </row>
    <row r="8" customFormat="false" ht="15" hidden="false" customHeight="false" outlineLevel="0" collapsed="false">
      <c r="A8" s="13" t="s">
        <v>406</v>
      </c>
      <c r="B8" s="16" t="s">
        <v>407</v>
      </c>
      <c r="C8" s="12" t="s">
        <v>93</v>
      </c>
      <c r="D8" s="18" t="n">
        <v>0.0045</v>
      </c>
      <c r="E8" s="28" t="n">
        <f aca="false">$D8*등급!$N$5</f>
        <v>0.0045</v>
      </c>
      <c r="F8" s="28" t="n">
        <f aca="false">$D8*등급!$N$6</f>
        <v>0.005625</v>
      </c>
      <c r="G8" s="28" t="n">
        <f aca="false">$D8*등급!$N$7</f>
        <v>0.00675</v>
      </c>
      <c r="H8" s="28" t="n">
        <f aca="false">$D8*등급!$N$8</f>
        <v>0.0081</v>
      </c>
      <c r="I8" s="28" t="n">
        <f aca="false">$D8*등급!$N$9</f>
        <v>0.00945</v>
      </c>
      <c r="J8" s="28" t="n">
        <f aca="false">$D8*등급!$N$10</f>
        <v>0.0108</v>
      </c>
      <c r="K8" s="28" t="n">
        <f aca="false">$D8*등급!$N$11</f>
        <v>0.011925</v>
      </c>
      <c r="L8" s="28" t="n">
        <f aca="false">$D8*등급!$N$12</f>
        <v>0.01305</v>
      </c>
    </row>
    <row r="9" customFormat="false" ht="15" hidden="false" customHeight="false" outlineLevel="0" collapsed="false">
      <c r="A9" s="13" t="s">
        <v>408</v>
      </c>
      <c r="B9" s="16" t="s">
        <v>409</v>
      </c>
      <c r="C9" s="12" t="s">
        <v>97</v>
      </c>
      <c r="D9" s="18" t="n">
        <v>0.008</v>
      </c>
      <c r="E9" s="28" t="n">
        <f aca="false">$D9*등급!$N$5</f>
        <v>0.008</v>
      </c>
      <c r="F9" s="28" t="n">
        <f aca="false">$D9*등급!$N$6</f>
        <v>0.01</v>
      </c>
      <c r="G9" s="28" t="n">
        <f aca="false">$D9*등급!$N$7</f>
        <v>0.012</v>
      </c>
      <c r="H9" s="28" t="n">
        <f aca="false">$D9*등급!$N$8</f>
        <v>0.0144</v>
      </c>
      <c r="I9" s="28" t="n">
        <f aca="false">$D9*등급!$N$9</f>
        <v>0.0168</v>
      </c>
      <c r="J9" s="28" t="n">
        <f aca="false">$D9*등급!$N$10</f>
        <v>0.0192</v>
      </c>
      <c r="K9" s="28" t="n">
        <f aca="false">$D9*등급!$N$11</f>
        <v>0.0212</v>
      </c>
      <c r="L9" s="28" t="n">
        <f aca="false">$D9*등급!$N$12</f>
        <v>0.0232</v>
      </c>
    </row>
    <row r="10" customFormat="false" ht="15" hidden="false" customHeight="false" outlineLevel="0" collapsed="false">
      <c r="A10" s="13" t="s">
        <v>410</v>
      </c>
      <c r="B10" s="16" t="s">
        <v>411</v>
      </c>
      <c r="C10" s="12" t="s">
        <v>89</v>
      </c>
      <c r="D10" s="18" t="n">
        <v>0.0035</v>
      </c>
      <c r="E10" s="28" t="n">
        <f aca="false">$D10*등급!$N$5</f>
        <v>0.0035</v>
      </c>
      <c r="F10" s="28" t="n">
        <f aca="false">$D10*등급!$N$6</f>
        <v>0.004375</v>
      </c>
      <c r="G10" s="28" t="n">
        <f aca="false">$D10*등급!$N$7</f>
        <v>0.00525</v>
      </c>
      <c r="H10" s="28" t="n">
        <f aca="false">$D10*등급!$N$8</f>
        <v>0.0063</v>
      </c>
      <c r="I10" s="28" t="n">
        <f aca="false">$D10*등급!$N$9</f>
        <v>0.00735</v>
      </c>
      <c r="J10" s="28" t="n">
        <f aca="false">$D10*등급!$N$10</f>
        <v>0.0084</v>
      </c>
      <c r="K10" s="28" t="n">
        <f aca="false">$D10*등급!$N$11</f>
        <v>0.009275</v>
      </c>
      <c r="L10" s="28" t="n">
        <f aca="false">$D10*등급!$N$12</f>
        <v>0.01015</v>
      </c>
    </row>
    <row r="11" customFormat="false" ht="15" hidden="false" customHeight="false" outlineLevel="0" collapsed="false">
      <c r="A11" s="13" t="s">
        <v>412</v>
      </c>
      <c r="B11" s="16" t="s">
        <v>413</v>
      </c>
      <c r="C11" s="12" t="s">
        <v>103</v>
      </c>
      <c r="D11" s="18" t="n">
        <v>0.01</v>
      </c>
      <c r="E11" s="28" t="n">
        <f aca="false">$D11*등급!$N$5</f>
        <v>0.01</v>
      </c>
      <c r="F11" s="28" t="n">
        <f aca="false">$D11*등급!$N$6</f>
        <v>0.0125</v>
      </c>
      <c r="G11" s="28" t="n">
        <f aca="false">$D11*등급!$N$7</f>
        <v>0.015</v>
      </c>
      <c r="H11" s="28" t="n">
        <f aca="false">$D11*등급!$N$8</f>
        <v>0.018</v>
      </c>
      <c r="I11" s="28" t="n">
        <f aca="false">$D11*등급!$N$9</f>
        <v>0.021</v>
      </c>
      <c r="J11" s="28" t="n">
        <f aca="false">$D11*등급!$N$10</f>
        <v>0.024</v>
      </c>
      <c r="K11" s="28" t="n">
        <f aca="false">$D11*등급!$N$11</f>
        <v>0.0265</v>
      </c>
      <c r="L11" s="28" t="n">
        <f aca="false">$D11*등급!$N$12</f>
        <v>0.029</v>
      </c>
    </row>
    <row r="12" customFormat="false" ht="15" hidden="false" customHeight="false" outlineLevel="0" collapsed="false">
      <c r="A12" s="13" t="s">
        <v>414</v>
      </c>
      <c r="B12" s="16" t="s">
        <v>415</v>
      </c>
      <c r="C12" s="12" t="s">
        <v>101</v>
      </c>
      <c r="D12" s="18" t="n">
        <v>0.01</v>
      </c>
      <c r="E12" s="28" t="n">
        <f aca="false">$D12*등급!$N$5</f>
        <v>0.01</v>
      </c>
      <c r="F12" s="28" t="n">
        <f aca="false">$D12*등급!$N$6</f>
        <v>0.0125</v>
      </c>
      <c r="G12" s="28" t="n">
        <f aca="false">$D12*등급!$N$7</f>
        <v>0.015</v>
      </c>
      <c r="H12" s="28" t="n">
        <f aca="false">$D12*등급!$N$8</f>
        <v>0.018</v>
      </c>
      <c r="I12" s="28" t="n">
        <f aca="false">$D12*등급!$N$9</f>
        <v>0.021</v>
      </c>
      <c r="J12" s="28" t="n">
        <f aca="false">$D12*등급!$N$10</f>
        <v>0.024</v>
      </c>
      <c r="K12" s="28" t="n">
        <f aca="false">$D12*등급!$N$11</f>
        <v>0.0265</v>
      </c>
      <c r="L12" s="28" t="n">
        <f aca="false">$D12*등급!$N$12</f>
        <v>0.029</v>
      </c>
    </row>
    <row r="13" customFormat="false" ht="15" hidden="false" customHeight="false" outlineLevel="0" collapsed="false">
      <c r="A13" s="13" t="s">
        <v>416</v>
      </c>
      <c r="B13" s="16" t="s">
        <v>417</v>
      </c>
      <c r="C13" s="12" t="s">
        <v>112</v>
      </c>
      <c r="D13" s="18" t="n">
        <v>0.018</v>
      </c>
      <c r="E13" s="28" t="n">
        <f aca="false">$D13*등급!$N$5</f>
        <v>0.018</v>
      </c>
      <c r="F13" s="28" t="n">
        <f aca="false">$D13*등급!$N$6</f>
        <v>0.0225</v>
      </c>
      <c r="G13" s="28" t="n">
        <f aca="false">$D13*등급!$N$7</f>
        <v>0.027</v>
      </c>
      <c r="H13" s="28" t="n">
        <f aca="false">$D13*등급!$N$8</f>
        <v>0.0324</v>
      </c>
      <c r="I13" s="28" t="n">
        <f aca="false">$D13*등급!$N$9</f>
        <v>0.0378</v>
      </c>
      <c r="J13" s="28" t="n">
        <f aca="false">$D13*등급!$N$10</f>
        <v>0.0432</v>
      </c>
      <c r="K13" s="28" t="n">
        <f aca="false">$D13*등급!$N$11</f>
        <v>0.0477</v>
      </c>
      <c r="L13" s="28" t="n">
        <f aca="false">$D13*등급!$N$12</f>
        <v>0.0522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16" t="s">
        <v>418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9" t="s">
        <v>68</v>
      </c>
      <c r="B16" s="29" t="s">
        <v>357</v>
      </c>
      <c r="C16" s="29"/>
      <c r="D16" s="29" t="s">
        <v>399</v>
      </c>
      <c r="E16" s="30" t="s">
        <v>43</v>
      </c>
      <c r="F16" s="30" t="s">
        <v>44</v>
      </c>
      <c r="G16" s="30" t="s">
        <v>45</v>
      </c>
      <c r="H16" s="30" t="s">
        <v>46</v>
      </c>
      <c r="I16" s="30" t="s">
        <v>47</v>
      </c>
      <c r="J16" s="30" t="s">
        <v>48</v>
      </c>
      <c r="K16" s="30" t="s">
        <v>49</v>
      </c>
      <c r="L16" s="30" t="s">
        <v>51</v>
      </c>
    </row>
    <row r="17" customFormat="false" ht="15" hidden="false" customHeight="false" outlineLevel="0" collapsed="false">
      <c r="A17" s="13" t="s">
        <v>359</v>
      </c>
      <c r="B17" s="12" t="s">
        <v>419</v>
      </c>
      <c r="C17" s="12"/>
      <c r="D17" s="18" t="n">
        <v>0.03</v>
      </c>
      <c r="E17" s="28" t="n">
        <f aca="false">$D17*등급!$N$5*$B$3</f>
        <v>0.018</v>
      </c>
      <c r="F17" s="28" t="n">
        <f aca="false">$D17*등급!$N$6*$B$3</f>
        <v>0.0225</v>
      </c>
      <c r="G17" s="28" t="n">
        <f aca="false">$D17*등급!$N$7*$B$3</f>
        <v>0.027</v>
      </c>
      <c r="H17" s="28" t="n">
        <f aca="false">$D17*등급!$N$8*$B$3</f>
        <v>0.0324</v>
      </c>
      <c r="I17" s="28" t="n">
        <f aca="false">$D17*등급!$N$9*$B$3</f>
        <v>0.0378</v>
      </c>
      <c r="J17" s="28" t="n">
        <f aca="false">$D17*등급!$N$10*$B$3</f>
        <v>0.0432</v>
      </c>
      <c r="K17" s="28" t="n">
        <f aca="false">$D17*등급!$N$11*$B$3</f>
        <v>0.0477</v>
      </c>
      <c r="L17" s="28" t="n">
        <f aca="false">$D17*등급!$N$12*$B$3</f>
        <v>0.0522</v>
      </c>
    </row>
    <row r="18" customFormat="false" ht="15" hidden="false" customHeight="false" outlineLevel="0" collapsed="false">
      <c r="A18" s="13" t="s">
        <v>362</v>
      </c>
      <c r="B18" s="12" t="s">
        <v>420</v>
      </c>
      <c r="C18" s="12"/>
      <c r="D18" s="18" t="n">
        <v>0.03</v>
      </c>
      <c r="E18" s="28" t="n">
        <f aca="false">$D18*등급!$N$5*$B$3</f>
        <v>0.018</v>
      </c>
      <c r="F18" s="28" t="n">
        <f aca="false">$D18*등급!$N$6*$B$3</f>
        <v>0.0225</v>
      </c>
      <c r="G18" s="28" t="n">
        <f aca="false">$D18*등급!$N$7*$B$3</f>
        <v>0.027</v>
      </c>
      <c r="H18" s="28" t="n">
        <f aca="false">$D18*등급!$N$8*$B$3</f>
        <v>0.0324</v>
      </c>
      <c r="I18" s="28" t="n">
        <f aca="false">$D18*등급!$N$9*$B$3</f>
        <v>0.0378</v>
      </c>
      <c r="J18" s="28" t="n">
        <f aca="false">$D18*등급!$N$10*$B$3</f>
        <v>0.0432</v>
      </c>
      <c r="K18" s="28" t="n">
        <f aca="false">$D18*등급!$N$11*$B$3</f>
        <v>0.0477</v>
      </c>
      <c r="L18" s="28" t="n">
        <f aca="false">$D18*등급!$N$12*$B$3</f>
        <v>0.0522</v>
      </c>
    </row>
    <row r="19" customFormat="false" ht="15" hidden="false" customHeight="false" outlineLevel="0" collapsed="false">
      <c r="A19" s="13" t="s">
        <v>211</v>
      </c>
      <c r="B19" s="12" t="s">
        <v>421</v>
      </c>
      <c r="C19" s="12"/>
      <c r="D19" s="18" t="n">
        <v>0.03</v>
      </c>
      <c r="E19" s="28" t="n">
        <f aca="false">$D19*등급!$N$5*$B$3</f>
        <v>0.018</v>
      </c>
      <c r="F19" s="28" t="n">
        <f aca="false">$D19*등급!$N$6*$B$3</f>
        <v>0.0225</v>
      </c>
      <c r="G19" s="28" t="n">
        <f aca="false">$D19*등급!$N$7*$B$3</f>
        <v>0.027</v>
      </c>
      <c r="H19" s="28" t="n">
        <f aca="false">$D19*등급!$N$8*$B$3</f>
        <v>0.0324</v>
      </c>
      <c r="I19" s="28" t="n">
        <f aca="false">$D19*등급!$N$9*$B$3</f>
        <v>0.0378</v>
      </c>
      <c r="J19" s="28" t="n">
        <f aca="false">$D19*등급!$N$10*$B$3</f>
        <v>0.0432</v>
      </c>
      <c r="K19" s="28" t="n">
        <f aca="false">$D19*등급!$N$11*$B$3</f>
        <v>0.0477</v>
      </c>
      <c r="L19" s="28" t="n">
        <f aca="false">$D19*등급!$N$12*$B$3</f>
        <v>0.0522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16" t="s">
        <v>422</v>
      </c>
      <c r="B21" s="2"/>
      <c r="C21" s="2"/>
      <c r="D21" s="2"/>
      <c r="E21" s="19" t="n">
        <f aca="false">등급!$M$5</f>
        <v>1</v>
      </c>
      <c r="F21" s="19" t="n">
        <f aca="false">등급!$M$6</f>
        <v>1</v>
      </c>
      <c r="G21" s="19" t="n">
        <f aca="false">등급!$M$7</f>
        <v>1</v>
      </c>
      <c r="H21" s="19" t="n">
        <f aca="false">등급!$M$8</f>
        <v>2</v>
      </c>
      <c r="I21" s="19" t="n">
        <f aca="false">등급!$M$9</f>
        <v>2</v>
      </c>
      <c r="J21" s="19" t="n">
        <f aca="false">등급!$M$10</f>
        <v>2</v>
      </c>
      <c r="K21" s="19" t="n">
        <f aca="false">등급!$M$11</f>
        <v>3</v>
      </c>
      <c r="L21" s="19" t="n">
        <f aca="false">등급!$M$12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9.4" hidden="false" customHeight="false" outlineLevel="0" collapsed="false">
      <c r="A1" s="1" t="s">
        <v>423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6" t="s">
        <v>424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8.35" hidden="false" customHeight="false" outlineLevel="0" collapsed="false">
      <c r="A4" s="7" t="s">
        <v>425</v>
      </c>
      <c r="B4" s="7" t="s">
        <v>29</v>
      </c>
      <c r="C4" s="7" t="s">
        <v>426</v>
      </c>
      <c r="D4" s="7" t="s">
        <v>427</v>
      </c>
      <c r="E4" s="7" t="s">
        <v>428</v>
      </c>
      <c r="F4" s="7" t="s">
        <v>429</v>
      </c>
      <c r="G4" s="7" t="s">
        <v>430</v>
      </c>
      <c r="H4" s="7" t="s">
        <v>431</v>
      </c>
    </row>
    <row r="5" customFormat="false" ht="15" hidden="false" customHeight="false" outlineLevel="0" collapsed="false">
      <c r="A5" s="10" t="n">
        <v>1</v>
      </c>
      <c r="B5" s="16" t="s">
        <v>432</v>
      </c>
      <c r="C5" s="9" t="n">
        <v>1.51</v>
      </c>
      <c r="D5" s="25" t="n">
        <f aca="false">C5</f>
        <v>1.51</v>
      </c>
      <c r="E5" s="13" t="s">
        <v>43</v>
      </c>
      <c r="F5" s="31" t="n">
        <v>1.51</v>
      </c>
      <c r="G5" s="31" t="n">
        <v>1.39</v>
      </c>
      <c r="H5" s="32" t="s">
        <v>78</v>
      </c>
    </row>
    <row r="6" customFormat="false" ht="15" hidden="false" customHeight="false" outlineLevel="0" collapsed="false">
      <c r="A6" s="10" t="n">
        <v>2</v>
      </c>
      <c r="B6" s="16" t="s">
        <v>433</v>
      </c>
      <c r="C6" s="9" t="n">
        <v>1.6</v>
      </c>
      <c r="D6" s="25" t="n">
        <f aca="false">C6</f>
        <v>1.6</v>
      </c>
      <c r="E6" s="13" t="s">
        <v>44</v>
      </c>
      <c r="F6" s="31" t="n">
        <v>1.6</v>
      </c>
      <c r="G6" s="31" t="n">
        <v>1.549</v>
      </c>
      <c r="H6" s="11" t="n">
        <f aca="false">C6/C5-1</f>
        <v>0.0596026490066226</v>
      </c>
    </row>
    <row r="7" customFormat="false" ht="15" hidden="false" customHeight="false" outlineLevel="0" collapsed="false">
      <c r="A7" s="10" t="n">
        <v>3</v>
      </c>
      <c r="B7" s="16" t="s">
        <v>434</v>
      </c>
      <c r="C7" s="9" t="n">
        <v>1.74</v>
      </c>
      <c r="D7" s="25" t="n">
        <f aca="false">C7</f>
        <v>1.74</v>
      </c>
      <c r="E7" s="13" t="s">
        <v>45</v>
      </c>
      <c r="F7" s="31" t="n">
        <v>1.743</v>
      </c>
      <c r="G7" s="31" t="n">
        <v>1.805</v>
      </c>
      <c r="H7" s="11" t="n">
        <f aca="false">C7/C6-1</f>
        <v>0.0874999999999999</v>
      </c>
    </row>
    <row r="8" customFormat="false" ht="15" hidden="false" customHeight="false" outlineLevel="0" collapsed="false">
      <c r="A8" s="10" t="n">
        <v>4</v>
      </c>
      <c r="B8" s="16" t="s">
        <v>435</v>
      </c>
      <c r="C8" s="9" t="n">
        <v>2.07</v>
      </c>
      <c r="D8" s="25" t="n">
        <f aca="false">C8</f>
        <v>2.07</v>
      </c>
      <c r="E8" s="13" t="s">
        <v>46</v>
      </c>
      <c r="F8" s="31" t="n">
        <v>2.067</v>
      </c>
      <c r="G8" s="31" t="n">
        <v>2.193</v>
      </c>
      <c r="H8" s="11" t="n">
        <f aca="false">C8/C7-1</f>
        <v>0.189655172413793</v>
      </c>
    </row>
    <row r="9" customFormat="false" ht="15" hidden="false" customHeight="false" outlineLevel="0" collapsed="false">
      <c r="A9" s="10" t="n">
        <v>5</v>
      </c>
      <c r="B9" s="16" t="s">
        <v>436</v>
      </c>
      <c r="C9" s="9" t="n">
        <v>2.52</v>
      </c>
      <c r="D9" s="25" t="n">
        <f aca="false">C9</f>
        <v>2.52</v>
      </c>
      <c r="E9" s="13" t="s">
        <v>47</v>
      </c>
      <c r="F9" s="31" t="n">
        <v>2.516</v>
      </c>
      <c r="G9" s="31" t="n">
        <v>2.691</v>
      </c>
      <c r="H9" s="11" t="n">
        <f aca="false">C9/C8-1</f>
        <v>0.217391304347826</v>
      </c>
    </row>
    <row r="10" customFormat="false" ht="15" hidden="false" customHeight="false" outlineLevel="0" collapsed="false">
      <c r="A10" s="10" t="n">
        <v>6</v>
      </c>
      <c r="B10" s="16" t="s">
        <v>437</v>
      </c>
      <c r="C10" s="9" t="n">
        <v>3.09</v>
      </c>
      <c r="D10" s="25" t="n">
        <f aca="false">C10</f>
        <v>3.09</v>
      </c>
      <c r="E10" s="13" t="s">
        <v>48</v>
      </c>
      <c r="F10" s="31" t="n">
        <v>3.091</v>
      </c>
      <c r="G10" s="31" t="n">
        <v>3.363</v>
      </c>
      <c r="H10" s="11" t="n">
        <f aca="false">C10/C9-1</f>
        <v>0.226190476190476</v>
      </c>
    </row>
    <row r="11" customFormat="false" ht="15" hidden="false" customHeight="false" outlineLevel="0" collapsed="false">
      <c r="A11" s="10" t="n">
        <v>7</v>
      </c>
      <c r="B11" s="16" t="s">
        <v>438</v>
      </c>
      <c r="C11" s="9" t="n">
        <v>4.19</v>
      </c>
      <c r="D11" s="25" t="n">
        <f aca="false">C11</f>
        <v>4.19</v>
      </c>
      <c r="E11" s="13" t="s">
        <v>49</v>
      </c>
      <c r="F11" s="31" t="n">
        <v>4.187</v>
      </c>
      <c r="G11" s="31" t="n">
        <v>4.021</v>
      </c>
      <c r="H11" s="11" t="n">
        <f aca="false">C11/C10-1</f>
        <v>0.355987055016181</v>
      </c>
    </row>
    <row r="12" customFormat="false" ht="15" hidden="false" customHeight="false" outlineLevel="0" collapsed="false">
      <c r="A12" s="10" t="n">
        <v>8</v>
      </c>
      <c r="B12" s="16" t="s">
        <v>439</v>
      </c>
      <c r="C12" s="9" t="n">
        <v>5.1</v>
      </c>
      <c r="D12" s="25" t="n">
        <f aca="false">C12</f>
        <v>5.1</v>
      </c>
      <c r="E12" s="13" t="s">
        <v>51</v>
      </c>
      <c r="F12" s="31" t="n">
        <v>5.104</v>
      </c>
      <c r="G12" s="31" t="n">
        <v>4.666</v>
      </c>
      <c r="H12" s="11" t="n">
        <f aca="false">C12/C11-1</f>
        <v>0.217183770883055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6" t="s">
        <v>440</v>
      </c>
      <c r="B14" s="2"/>
      <c r="C14" s="2"/>
      <c r="D14" s="2"/>
      <c r="E14" s="2"/>
      <c r="F14" s="2"/>
      <c r="G14" s="2"/>
      <c r="H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9"/>
  </cols>
  <sheetData>
    <row r="1" customFormat="false" ht="19.4" hidden="false" customHeight="false" outlineLevel="0" collapsed="false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6" t="s">
        <v>442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15" hidden="false" customHeight="false" outlineLevel="0" collapsed="false">
      <c r="A4" s="16" t="s">
        <v>443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27.6" hidden="false" customHeight="false" outlineLevel="0" collapsed="false">
      <c r="A5" s="33" t="s">
        <v>444</v>
      </c>
      <c r="B5" s="34" t="s">
        <v>445</v>
      </c>
      <c r="C5" s="34" t="s">
        <v>446</v>
      </c>
      <c r="D5" s="34" t="s">
        <v>447</v>
      </c>
      <c r="E5" s="34" t="s">
        <v>448</v>
      </c>
      <c r="F5" s="34" t="s">
        <v>449</v>
      </c>
      <c r="G5" s="34" t="s">
        <v>450</v>
      </c>
      <c r="H5" s="34" t="s">
        <v>451</v>
      </c>
      <c r="I5" s="34" t="s">
        <v>452</v>
      </c>
      <c r="J5" s="34" t="s">
        <v>453</v>
      </c>
      <c r="K5" s="34" t="s">
        <v>454</v>
      </c>
      <c r="L5" s="34" t="s">
        <v>455</v>
      </c>
      <c r="M5" s="34" t="s">
        <v>456</v>
      </c>
      <c r="N5" s="34" t="s">
        <v>457</v>
      </c>
      <c r="O5" s="34" t="s">
        <v>458</v>
      </c>
      <c r="P5" s="34" t="s">
        <v>459</v>
      </c>
      <c r="Q5" s="34" t="s">
        <v>460</v>
      </c>
    </row>
    <row r="6" customFormat="false" ht="15" hidden="false" customHeight="false" outlineLevel="0" collapsed="false">
      <c r="A6" s="13" t="s">
        <v>461</v>
      </c>
      <c r="B6" s="9" t="n">
        <v>75.81</v>
      </c>
      <c r="C6" s="9" t="n">
        <v>13.96</v>
      </c>
      <c r="D6" s="9" t="n">
        <v>0.55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11" t="n">
        <f aca="false">IF(SUM($B6:$I6)=0,0,B6/SUM($B6:$I6))</f>
        <v>0.839348981399469</v>
      </c>
      <c r="K6" s="11" t="n">
        <f aca="false">IF(SUM($B6:$I6)=0,0,C6/SUM($B6:$I6))</f>
        <v>0.154561558901683</v>
      </c>
      <c r="L6" s="11" t="n">
        <f aca="false">IF(SUM($B6:$I6)=0,0,D6/SUM($B6:$I6))</f>
        <v>0.00608945969884854</v>
      </c>
      <c r="M6" s="11" t="n">
        <f aca="false">IF(SUM($B6:$I6)=0,0,E6/SUM($B6:$I6))</f>
        <v>0</v>
      </c>
      <c r="N6" s="11" t="n">
        <f aca="false">IF(SUM($B6:$I6)=0,0,F6/SUM($B6:$I6))</f>
        <v>0</v>
      </c>
      <c r="O6" s="11" t="n">
        <f aca="false">IF(SUM($B6:$I6)=0,0,G6/SUM($B6:$I6))</f>
        <v>0</v>
      </c>
      <c r="P6" s="11" t="n">
        <f aca="false">IF(SUM($B6:$I6)=0,0,H6/SUM($B6:$I6))</f>
        <v>0</v>
      </c>
      <c r="Q6" s="11" t="n">
        <f aca="false">IF(SUM($B6:$I6)=0,0,I6/SUM($B6:$I6))</f>
        <v>0</v>
      </c>
    </row>
    <row r="7" customFormat="false" ht="15" hidden="false" customHeight="false" outlineLevel="0" collapsed="false">
      <c r="A7" s="13" t="s">
        <v>462</v>
      </c>
      <c r="B7" s="9" t="n">
        <v>88.42</v>
      </c>
      <c r="C7" s="9" t="n">
        <v>75.81</v>
      </c>
      <c r="D7" s="9" t="n">
        <v>13.96</v>
      </c>
      <c r="E7" s="9" t="n">
        <v>0.55</v>
      </c>
      <c r="F7" s="9" t="n">
        <v>0</v>
      </c>
      <c r="G7" s="9" t="n">
        <v>0</v>
      </c>
      <c r="H7" s="9" t="n">
        <v>0</v>
      </c>
      <c r="I7" s="9" t="n">
        <v>0</v>
      </c>
      <c r="J7" s="11" t="n">
        <f aca="false">IF(SUM($B7:$I7)=0,0,B7/SUM($B7:$I7))</f>
        <v>0.494685017343628</v>
      </c>
      <c r="K7" s="11" t="n">
        <f aca="false">IF(SUM($B7:$I7)=0,0,C7/SUM($B7:$I7))</f>
        <v>0.424135615978516</v>
      </c>
      <c r="L7" s="11" t="n">
        <f aca="false">IF(SUM($B7:$I7)=0,0,D7/SUM($B7:$I7))</f>
        <v>0.0781022714557458</v>
      </c>
      <c r="M7" s="11" t="n">
        <f aca="false">IF(SUM($B7:$I7)=0,0,E7/SUM($B7:$I7))</f>
        <v>0.00307709522211033</v>
      </c>
      <c r="N7" s="11" t="n">
        <f aca="false">IF(SUM($B7:$I7)=0,0,F7/SUM($B7:$I7))</f>
        <v>0</v>
      </c>
      <c r="O7" s="11" t="n">
        <f aca="false">IF(SUM($B7:$I7)=0,0,G7/SUM($B7:$I7))</f>
        <v>0</v>
      </c>
      <c r="P7" s="11" t="n">
        <f aca="false">IF(SUM($B7:$I7)=0,0,H7/SUM($B7:$I7))</f>
        <v>0</v>
      </c>
      <c r="Q7" s="11" t="n">
        <f aca="false">IF(SUM($B7:$I7)=0,0,I7/SUM($B7:$I7))</f>
        <v>0</v>
      </c>
    </row>
    <row r="8" customFormat="false" ht="15" hidden="false" customHeight="false" outlineLevel="0" collapsed="false">
      <c r="A8" s="13" t="s">
        <v>463</v>
      </c>
      <c r="B8" s="9" t="n">
        <v>22.15</v>
      </c>
      <c r="C8" s="9" t="n">
        <v>88.42</v>
      </c>
      <c r="D8" s="9" t="n">
        <v>75.81</v>
      </c>
      <c r="E8" s="9" t="n">
        <v>13.96</v>
      </c>
      <c r="F8" s="9" t="n">
        <v>0.55</v>
      </c>
      <c r="G8" s="9" t="n">
        <v>0</v>
      </c>
      <c r="H8" s="9" t="n">
        <v>0</v>
      </c>
      <c r="I8" s="9" t="n">
        <v>0</v>
      </c>
      <c r="J8" s="11" t="n">
        <f aca="false">IF(SUM($B8:$I8)=0,0,B8/SUM($B8:$I8))</f>
        <v>0.110259345910697</v>
      </c>
      <c r="K8" s="11" t="n">
        <f aca="false">IF(SUM($B8:$I8)=0,0,C8/SUM($B8:$I8))</f>
        <v>0.440141370899497</v>
      </c>
      <c r="L8" s="11" t="n">
        <f aca="false">IF(SUM($B8:$I8)=0,0,D8/SUM($B8:$I8))</f>
        <v>0.377370700383294</v>
      </c>
      <c r="M8" s="11" t="n">
        <f aca="false">IF(SUM($B8:$I8)=0,0,E8/SUM($B8:$I8))</f>
        <v>0.0694907660908955</v>
      </c>
      <c r="N8" s="11" t="n">
        <f aca="false">IF(SUM($B8:$I8)=0,0,F8/SUM($B8:$I8))</f>
        <v>0.00273781671561551</v>
      </c>
      <c r="O8" s="11" t="n">
        <f aca="false">IF(SUM($B8:$I8)=0,0,G8/SUM($B8:$I8))</f>
        <v>0</v>
      </c>
      <c r="P8" s="11" t="n">
        <f aca="false">IF(SUM($B8:$I8)=0,0,H8/SUM($B8:$I8))</f>
        <v>0</v>
      </c>
      <c r="Q8" s="11" t="n">
        <f aca="false">IF(SUM($B8:$I8)=0,0,I8/SUM($B8:$I8))</f>
        <v>0</v>
      </c>
    </row>
    <row r="9" customFormat="false" ht="15" hidden="false" customHeight="false" outlineLevel="0" collapsed="false">
      <c r="A9" s="13" t="s">
        <v>464</v>
      </c>
      <c r="B9" s="9" t="n">
        <v>1.19</v>
      </c>
      <c r="C9" s="9" t="n">
        <v>22.15</v>
      </c>
      <c r="D9" s="9" t="n">
        <v>88.42</v>
      </c>
      <c r="E9" s="9" t="n">
        <v>75.81</v>
      </c>
      <c r="F9" s="9" t="n">
        <v>13.96</v>
      </c>
      <c r="G9" s="9" t="n">
        <v>0.55</v>
      </c>
      <c r="H9" s="9" t="n">
        <v>0</v>
      </c>
      <c r="I9" s="9" t="n">
        <v>0</v>
      </c>
      <c r="J9" s="11" t="n">
        <f aca="false">IF(SUM($B9:$I9)=0,0,B9/SUM($B9:$I9))</f>
        <v>0.00588875692794933</v>
      </c>
      <c r="K9" s="11" t="n">
        <f aca="false">IF(SUM($B9:$I9)=0,0,C9/SUM($B9:$I9))</f>
        <v>0.109610055423595</v>
      </c>
      <c r="L9" s="11" t="n">
        <f aca="false">IF(SUM($B9:$I9)=0,0,D9/SUM($B9:$I9))</f>
        <v>0.437549485352336</v>
      </c>
      <c r="M9" s="11" t="n">
        <f aca="false">IF(SUM($B9:$I9)=0,0,E9/SUM($B9:$I9))</f>
        <v>0.375148456057007</v>
      </c>
      <c r="N9" s="11" t="n">
        <f aca="false">IF(SUM($B9:$I9)=0,0,F9/SUM($B9:$I9))</f>
        <v>0.0690815518606493</v>
      </c>
      <c r="O9" s="11" t="n">
        <f aca="false">IF(SUM($B9:$I9)=0,0,G9/SUM($B9:$I9))</f>
        <v>0.00272169437846397</v>
      </c>
      <c r="P9" s="11" t="n">
        <f aca="false">IF(SUM($B9:$I9)=0,0,H9/SUM($B9:$I9))</f>
        <v>0</v>
      </c>
      <c r="Q9" s="11" t="n">
        <f aca="false">IF(SUM($B9:$I9)=0,0,I9/SUM($B9:$I9))</f>
        <v>0</v>
      </c>
    </row>
    <row r="10" customFormat="false" ht="15" hidden="false" customHeight="false" outlineLevel="0" collapsed="false">
      <c r="A10" s="13" t="s">
        <v>465</v>
      </c>
      <c r="B10" s="9" t="n">
        <v>0.01</v>
      </c>
      <c r="C10" s="9" t="n">
        <v>1.19</v>
      </c>
      <c r="D10" s="9" t="n">
        <v>22.15</v>
      </c>
      <c r="E10" s="9" t="n">
        <v>88.42</v>
      </c>
      <c r="F10" s="9" t="n">
        <v>75.81</v>
      </c>
      <c r="G10" s="9" t="n">
        <v>13.96</v>
      </c>
      <c r="H10" s="9" t="n">
        <v>0.08</v>
      </c>
      <c r="I10" s="9" t="n">
        <v>0</v>
      </c>
      <c r="J10" s="11" t="n">
        <f aca="false">IF(SUM($B10:$I10)=0,0,B10/SUM($B10:$I10))</f>
        <v>4.95982541414542E-005</v>
      </c>
      <c r="K10" s="11" t="n">
        <f aca="false">IF(SUM($B10:$I10)=0,0,C10/SUM($B10:$I10))</f>
        <v>0.00590219224283305</v>
      </c>
      <c r="L10" s="11" t="n">
        <f aca="false">IF(SUM($B10:$I10)=0,0,D10/SUM($B10:$I10))</f>
        <v>0.109860132923321</v>
      </c>
      <c r="M10" s="11" t="n">
        <f aca="false">IF(SUM($B10:$I10)=0,0,E10/SUM($B10:$I10))</f>
        <v>0.438547763118738</v>
      </c>
      <c r="N10" s="11" t="n">
        <f aca="false">IF(SUM($B10:$I10)=0,0,F10/SUM($B10:$I10))</f>
        <v>0.376004364646364</v>
      </c>
      <c r="O10" s="11" t="n">
        <f aca="false">IF(SUM($B10:$I10)=0,0,G10/SUM($B10:$I10))</f>
        <v>0.0692391627814701</v>
      </c>
      <c r="P10" s="11" t="n">
        <f aca="false">IF(SUM($B10:$I10)=0,0,H10/SUM($B10:$I10))</f>
        <v>0.000396786033131634</v>
      </c>
      <c r="Q10" s="11" t="n">
        <f aca="false">IF(SUM($B10:$I10)=0,0,I10/SUM($B10:$I10))</f>
        <v>0</v>
      </c>
    </row>
    <row r="11" customFormat="false" ht="15" hidden="false" customHeight="false" outlineLevel="0" collapsed="false">
      <c r="A11" s="13" t="s">
        <v>466</v>
      </c>
      <c r="B11" s="9" t="n">
        <v>0</v>
      </c>
      <c r="C11" s="9" t="n">
        <v>0.01</v>
      </c>
      <c r="D11" s="9" t="n">
        <v>1.19</v>
      </c>
      <c r="E11" s="9" t="n">
        <v>22.15</v>
      </c>
      <c r="F11" s="9" t="n">
        <v>88.42</v>
      </c>
      <c r="G11" s="9" t="n">
        <v>75.81</v>
      </c>
      <c r="H11" s="9" t="n">
        <v>2.09</v>
      </c>
      <c r="I11" s="9" t="n">
        <v>0</v>
      </c>
      <c r="J11" s="11" t="n">
        <f aca="false">IF(SUM($B11:$I11)=0,0,B11/SUM($B11:$I11))</f>
        <v>0</v>
      </c>
      <c r="K11" s="11" t="n">
        <f aca="false">IF(SUM($B11:$I11)=0,0,C11/SUM($B11:$I11))</f>
        <v>5.2723150735488E-005</v>
      </c>
      <c r="L11" s="11" t="n">
        <f aca="false">IF(SUM($B11:$I11)=0,0,D11/SUM($B11:$I11))</f>
        <v>0.00627405493752307</v>
      </c>
      <c r="M11" s="11" t="n">
        <f aca="false">IF(SUM($B11:$I11)=0,0,E11/SUM($B11:$I11))</f>
        <v>0.116781778879106</v>
      </c>
      <c r="N11" s="11" t="n">
        <f aca="false">IF(SUM($B11:$I11)=0,0,F11/SUM($B11:$I11))</f>
        <v>0.466178098803184</v>
      </c>
      <c r="O11" s="11" t="n">
        <f aca="false">IF(SUM($B11:$I11)=0,0,G11/SUM($B11:$I11))</f>
        <v>0.399694205725734</v>
      </c>
      <c r="P11" s="11" t="n">
        <f aca="false">IF(SUM($B11:$I11)=0,0,H11/SUM($B11:$I11))</f>
        <v>0.011019138503717</v>
      </c>
      <c r="Q11" s="11" t="n">
        <f aca="false">IF(SUM($B11:$I11)=0,0,I11/SUM($B11:$I11))</f>
        <v>0</v>
      </c>
    </row>
    <row r="12" customFormat="false" ht="15" hidden="false" customHeight="false" outlineLevel="0" collapsed="false">
      <c r="A12" s="13" t="s">
        <v>467</v>
      </c>
      <c r="B12" s="9" t="n">
        <v>0</v>
      </c>
      <c r="C12" s="9" t="n">
        <v>0</v>
      </c>
      <c r="D12" s="9" t="n">
        <v>0.01</v>
      </c>
      <c r="E12" s="9" t="n">
        <v>1.19</v>
      </c>
      <c r="F12" s="9" t="n">
        <v>22.15</v>
      </c>
      <c r="G12" s="9" t="n">
        <v>88.42</v>
      </c>
      <c r="H12" s="9" t="n">
        <v>11.37</v>
      </c>
      <c r="I12" s="9" t="n">
        <v>0</v>
      </c>
      <c r="J12" s="11" t="n">
        <f aca="false">IF(SUM($B12:$I12)=0,0,B12/SUM($B12:$I12))</f>
        <v>0</v>
      </c>
      <c r="K12" s="11" t="n">
        <f aca="false">IF(SUM($B12:$I12)=0,0,C12/SUM($B12:$I12))</f>
        <v>0</v>
      </c>
      <c r="L12" s="11" t="n">
        <f aca="false">IF(SUM($B12:$I12)=0,0,D12/SUM($B12:$I12))</f>
        <v>8.12083807048887E-005</v>
      </c>
      <c r="M12" s="11" t="n">
        <f aca="false">IF(SUM($B12:$I12)=0,0,E12/SUM($B12:$I12))</f>
        <v>0.00966379730388176</v>
      </c>
      <c r="N12" s="11" t="n">
        <f aca="false">IF(SUM($B12:$I12)=0,0,F12/SUM($B12:$I12))</f>
        <v>0.179876563261329</v>
      </c>
      <c r="O12" s="11" t="n">
        <f aca="false">IF(SUM($B12:$I12)=0,0,G12/SUM($B12:$I12))</f>
        <v>0.718044502192626</v>
      </c>
      <c r="P12" s="11" t="n">
        <f aca="false">IF(SUM($B12:$I12)=0,0,H12/SUM($B12:$I12))</f>
        <v>0.0923339288614585</v>
      </c>
      <c r="Q12" s="11" t="n">
        <f aca="false">IF(SUM($B12:$I12)=0,0,I12/SUM($B12:$I12))</f>
        <v>0</v>
      </c>
    </row>
    <row r="13" customFormat="false" ht="15" hidden="false" customHeight="false" outlineLevel="0" collapsed="false">
      <c r="A13" s="13" t="s">
        <v>468</v>
      </c>
      <c r="B13" s="9" t="n">
        <v>0</v>
      </c>
      <c r="C13" s="9" t="n">
        <v>0</v>
      </c>
      <c r="D13" s="9" t="n">
        <v>0</v>
      </c>
      <c r="E13" s="9" t="n">
        <v>0.01</v>
      </c>
      <c r="F13" s="9" t="n">
        <v>1.19</v>
      </c>
      <c r="G13" s="9" t="n">
        <v>22.15</v>
      </c>
      <c r="H13" s="9" t="n">
        <v>13.26</v>
      </c>
      <c r="I13" s="9" t="n">
        <v>0</v>
      </c>
      <c r="J13" s="11" t="n">
        <f aca="false">IF(SUM($B13:$I13)=0,0,B13/SUM($B13:$I13))</f>
        <v>0</v>
      </c>
      <c r="K13" s="11" t="n">
        <f aca="false">IF(SUM($B13:$I13)=0,0,C13/SUM($B13:$I13))</f>
        <v>0</v>
      </c>
      <c r="L13" s="11" t="n">
        <f aca="false">IF(SUM($B13:$I13)=0,0,D13/SUM($B13:$I13))</f>
        <v>0</v>
      </c>
      <c r="M13" s="11" t="n">
        <f aca="false">IF(SUM($B13:$I13)=0,0,E13/SUM($B13:$I13))</f>
        <v>0.000273149412728763</v>
      </c>
      <c r="N13" s="11" t="n">
        <f aca="false">IF(SUM($B13:$I13)=0,0,F13/SUM($B13:$I13))</f>
        <v>0.0325047801147228</v>
      </c>
      <c r="O13" s="11" t="n">
        <f aca="false">IF(SUM($B13:$I13)=0,0,G13/SUM($B13:$I13))</f>
        <v>0.605025949194209</v>
      </c>
      <c r="P13" s="11" t="n">
        <f aca="false">IF(SUM($B13:$I13)=0,0,H13/SUM($B13:$I13))</f>
        <v>0.362196121278339</v>
      </c>
      <c r="Q13" s="11" t="n">
        <f aca="false">IF(SUM($B13:$I13)=0,0,I13/SUM($B13:$I13))</f>
        <v>0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5" hidden="false" customHeight="false" outlineLevel="0" collapsed="false">
      <c r="A15" s="16" t="s">
        <v>469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customFormat="false" ht="27.6" hidden="false" customHeight="false" outlineLevel="0" collapsed="false">
      <c r="A16" s="33" t="s">
        <v>444</v>
      </c>
      <c r="B16" s="34" t="s">
        <v>445</v>
      </c>
      <c r="C16" s="34" t="s">
        <v>446</v>
      </c>
      <c r="D16" s="34" t="s">
        <v>447</v>
      </c>
      <c r="E16" s="34" t="s">
        <v>448</v>
      </c>
      <c r="F16" s="34" t="s">
        <v>449</v>
      </c>
      <c r="G16" s="34" t="s">
        <v>450</v>
      </c>
      <c r="H16" s="34" t="s">
        <v>451</v>
      </c>
      <c r="I16" s="34" t="s">
        <v>452</v>
      </c>
      <c r="J16" s="34" t="s">
        <v>453</v>
      </c>
      <c r="K16" s="34" t="s">
        <v>454</v>
      </c>
      <c r="L16" s="34" t="s">
        <v>455</v>
      </c>
      <c r="M16" s="34" t="s">
        <v>456</v>
      </c>
      <c r="N16" s="34" t="s">
        <v>457</v>
      </c>
      <c r="O16" s="34" t="s">
        <v>458</v>
      </c>
      <c r="P16" s="34" t="s">
        <v>459</v>
      </c>
      <c r="Q16" s="34" t="s">
        <v>460</v>
      </c>
    </row>
    <row r="17" customFormat="false" ht="15" hidden="false" customHeight="false" outlineLevel="0" collapsed="false">
      <c r="A17" s="13" t="s">
        <v>461</v>
      </c>
      <c r="B17" s="9" t="n">
        <v>88.42</v>
      </c>
      <c r="C17" s="9" t="n">
        <v>75.81</v>
      </c>
      <c r="D17" s="9" t="n">
        <v>13.96</v>
      </c>
      <c r="E17" s="9" t="n">
        <v>0.55</v>
      </c>
      <c r="F17" s="9" t="n">
        <v>0</v>
      </c>
      <c r="G17" s="9" t="n">
        <v>0</v>
      </c>
      <c r="H17" s="9" t="n">
        <v>0</v>
      </c>
      <c r="I17" s="9" t="n">
        <v>0</v>
      </c>
      <c r="J17" s="11" t="n">
        <f aca="false">IF(SUM($B17:$I17)=0,0,B17/SUM($B17:$I17))</f>
        <v>0.494685017343628</v>
      </c>
      <c r="K17" s="11" t="n">
        <f aca="false">IF(SUM($B17:$I17)=0,0,C17/SUM($B17:$I17))</f>
        <v>0.424135615978516</v>
      </c>
      <c r="L17" s="11" t="n">
        <f aca="false">IF(SUM($B17:$I17)=0,0,D17/SUM($B17:$I17))</f>
        <v>0.0781022714557458</v>
      </c>
      <c r="M17" s="11" t="n">
        <f aca="false">IF(SUM($B17:$I17)=0,0,E17/SUM($B17:$I17))</f>
        <v>0.00307709522211033</v>
      </c>
      <c r="N17" s="11" t="n">
        <f aca="false">IF(SUM($B17:$I17)=0,0,F17/SUM($B17:$I17))</f>
        <v>0</v>
      </c>
      <c r="O17" s="11" t="n">
        <f aca="false">IF(SUM($B17:$I17)=0,0,G17/SUM($B17:$I17))</f>
        <v>0</v>
      </c>
      <c r="P17" s="11" t="n">
        <f aca="false">IF(SUM($B17:$I17)=0,0,H17/SUM($B17:$I17))</f>
        <v>0</v>
      </c>
      <c r="Q17" s="11" t="n">
        <f aca="false">IF(SUM($B17:$I17)=0,0,I17/SUM($B17:$I17))</f>
        <v>0</v>
      </c>
    </row>
    <row r="18" customFormat="false" ht="15" hidden="false" customHeight="false" outlineLevel="0" collapsed="false">
      <c r="A18" s="13" t="s">
        <v>462</v>
      </c>
      <c r="B18" s="9" t="n">
        <v>22.15</v>
      </c>
      <c r="C18" s="9" t="n">
        <v>88.42</v>
      </c>
      <c r="D18" s="9" t="n">
        <v>75.81</v>
      </c>
      <c r="E18" s="9" t="n">
        <v>13.96</v>
      </c>
      <c r="F18" s="9" t="n">
        <v>0.55</v>
      </c>
      <c r="G18" s="9" t="n">
        <v>0</v>
      </c>
      <c r="H18" s="9" t="n">
        <v>0</v>
      </c>
      <c r="I18" s="9" t="n">
        <v>0</v>
      </c>
      <c r="J18" s="11" t="n">
        <f aca="false">IF(SUM($B18:$I18)=0,0,B18/SUM($B18:$I18))</f>
        <v>0.110259345910697</v>
      </c>
      <c r="K18" s="11" t="n">
        <f aca="false">IF(SUM($B18:$I18)=0,0,C18/SUM($B18:$I18))</f>
        <v>0.440141370899497</v>
      </c>
      <c r="L18" s="11" t="n">
        <f aca="false">IF(SUM($B18:$I18)=0,0,D18/SUM($B18:$I18))</f>
        <v>0.377370700383294</v>
      </c>
      <c r="M18" s="11" t="n">
        <f aca="false">IF(SUM($B18:$I18)=0,0,E18/SUM($B18:$I18))</f>
        <v>0.0694907660908955</v>
      </c>
      <c r="N18" s="11" t="n">
        <f aca="false">IF(SUM($B18:$I18)=0,0,F18/SUM($B18:$I18))</f>
        <v>0.00273781671561551</v>
      </c>
      <c r="O18" s="11" t="n">
        <f aca="false">IF(SUM($B18:$I18)=0,0,G18/SUM($B18:$I18))</f>
        <v>0</v>
      </c>
      <c r="P18" s="11" t="n">
        <f aca="false">IF(SUM($B18:$I18)=0,0,H18/SUM($B18:$I18))</f>
        <v>0</v>
      </c>
      <c r="Q18" s="11" t="n">
        <f aca="false">IF(SUM($B18:$I18)=0,0,I18/SUM($B18:$I18))</f>
        <v>0</v>
      </c>
    </row>
    <row r="19" customFormat="false" ht="15" hidden="false" customHeight="false" outlineLevel="0" collapsed="false">
      <c r="A19" s="13" t="s">
        <v>463</v>
      </c>
      <c r="B19" s="9" t="n">
        <v>1.19</v>
      </c>
      <c r="C19" s="9" t="n">
        <v>22.15</v>
      </c>
      <c r="D19" s="9" t="n">
        <v>88.42</v>
      </c>
      <c r="E19" s="9" t="n">
        <v>75.81</v>
      </c>
      <c r="F19" s="9" t="n">
        <v>13.96</v>
      </c>
      <c r="G19" s="9" t="n">
        <v>0.55</v>
      </c>
      <c r="H19" s="9" t="n">
        <v>0</v>
      </c>
      <c r="I19" s="9" t="n">
        <v>0</v>
      </c>
      <c r="J19" s="11" t="n">
        <f aca="false">IF(SUM($B19:$I19)=0,0,B19/SUM($B19:$I19))</f>
        <v>0.00588875692794933</v>
      </c>
      <c r="K19" s="11" t="n">
        <f aca="false">IF(SUM($B19:$I19)=0,0,C19/SUM($B19:$I19))</f>
        <v>0.109610055423595</v>
      </c>
      <c r="L19" s="11" t="n">
        <f aca="false">IF(SUM($B19:$I19)=0,0,D19/SUM($B19:$I19))</f>
        <v>0.437549485352336</v>
      </c>
      <c r="M19" s="11" t="n">
        <f aca="false">IF(SUM($B19:$I19)=0,0,E19/SUM($B19:$I19))</f>
        <v>0.375148456057007</v>
      </c>
      <c r="N19" s="11" t="n">
        <f aca="false">IF(SUM($B19:$I19)=0,0,F19/SUM($B19:$I19))</f>
        <v>0.0690815518606493</v>
      </c>
      <c r="O19" s="11" t="n">
        <f aca="false">IF(SUM($B19:$I19)=0,0,G19/SUM($B19:$I19))</f>
        <v>0.00272169437846397</v>
      </c>
      <c r="P19" s="11" t="n">
        <f aca="false">IF(SUM($B19:$I19)=0,0,H19/SUM($B19:$I19))</f>
        <v>0</v>
      </c>
      <c r="Q19" s="11" t="n">
        <f aca="false">IF(SUM($B19:$I19)=0,0,I19/SUM($B19:$I19))</f>
        <v>0</v>
      </c>
    </row>
    <row r="20" customFormat="false" ht="15" hidden="false" customHeight="false" outlineLevel="0" collapsed="false">
      <c r="A20" s="13" t="s">
        <v>464</v>
      </c>
      <c r="B20" s="9" t="n">
        <v>0.01</v>
      </c>
      <c r="C20" s="9" t="n">
        <v>1.19</v>
      </c>
      <c r="D20" s="9" t="n">
        <v>22.15</v>
      </c>
      <c r="E20" s="9" t="n">
        <v>88.42</v>
      </c>
      <c r="F20" s="9" t="n">
        <v>75.81</v>
      </c>
      <c r="G20" s="9" t="n">
        <v>13.96</v>
      </c>
      <c r="H20" s="9" t="n">
        <v>0.22</v>
      </c>
      <c r="I20" s="9" t="n">
        <v>0</v>
      </c>
      <c r="J20" s="11" t="n">
        <f aca="false">IF(SUM($B20:$I20)=0,0,B20/SUM($B20:$I20))</f>
        <v>4.9563838223632E-005</v>
      </c>
      <c r="K20" s="11" t="n">
        <f aca="false">IF(SUM($B20:$I20)=0,0,C20/SUM($B20:$I20))</f>
        <v>0.00589809674861221</v>
      </c>
      <c r="L20" s="11" t="n">
        <f aca="false">IF(SUM($B20:$I20)=0,0,D20/SUM($B20:$I20))</f>
        <v>0.109783901665345</v>
      </c>
      <c r="M20" s="11" t="n">
        <f aca="false">IF(SUM($B20:$I20)=0,0,E20/SUM($B20:$I20))</f>
        <v>0.438243457573355</v>
      </c>
      <c r="N20" s="11" t="n">
        <f aca="false">IF(SUM($B20:$I20)=0,0,F20/SUM($B20:$I20))</f>
        <v>0.375743457573355</v>
      </c>
      <c r="O20" s="11" t="n">
        <f aca="false">IF(SUM($B20:$I20)=0,0,G20/SUM($B20:$I20))</f>
        <v>0.0691911181601903</v>
      </c>
      <c r="P20" s="11" t="n">
        <f aca="false">IF(SUM($B20:$I20)=0,0,H20/SUM($B20:$I20))</f>
        <v>0.0010904044409199</v>
      </c>
      <c r="Q20" s="11" t="n">
        <f aca="false">IF(SUM($B20:$I20)=0,0,I20/SUM($B20:$I20))</f>
        <v>0</v>
      </c>
    </row>
    <row r="21" customFormat="false" ht="15" hidden="false" customHeight="false" outlineLevel="0" collapsed="false">
      <c r="A21" s="13" t="s">
        <v>465</v>
      </c>
      <c r="B21" s="9" t="n">
        <v>0</v>
      </c>
      <c r="C21" s="9" t="n">
        <v>0.01</v>
      </c>
      <c r="D21" s="9" t="n">
        <v>1.19</v>
      </c>
      <c r="E21" s="9" t="n">
        <v>22.15</v>
      </c>
      <c r="F21" s="9" t="n">
        <v>88.42</v>
      </c>
      <c r="G21" s="9" t="n">
        <v>75.81</v>
      </c>
      <c r="H21" s="9" t="n">
        <v>5.58</v>
      </c>
      <c r="I21" s="9" t="n">
        <v>0</v>
      </c>
      <c r="J21" s="11" t="n">
        <f aca="false">IF(SUM($B21:$I21)=0,0,B21/SUM($B21:$I21))</f>
        <v>0</v>
      </c>
      <c r="K21" s="11" t="n">
        <f aca="false">IF(SUM($B21:$I21)=0,0,C21/SUM($B21:$I21))</f>
        <v>5.17705529095051E-005</v>
      </c>
      <c r="L21" s="11" t="n">
        <f aca="false">IF(SUM($B21:$I21)=0,0,D21/SUM($B21:$I21))</f>
        <v>0.0061606957962311</v>
      </c>
      <c r="M21" s="11" t="n">
        <f aca="false">IF(SUM($B21:$I21)=0,0,E21/SUM($B21:$I21))</f>
        <v>0.114671774694554</v>
      </c>
      <c r="N21" s="11" t="n">
        <f aca="false">IF(SUM($B21:$I21)=0,0,F21/SUM($B21:$I21))</f>
        <v>0.457755228825844</v>
      </c>
      <c r="O21" s="11" t="n">
        <f aca="false">IF(SUM($B21:$I21)=0,0,G21/SUM($B21:$I21))</f>
        <v>0.392472561606958</v>
      </c>
      <c r="P21" s="11" t="n">
        <f aca="false">IF(SUM($B21:$I21)=0,0,H21/SUM($B21:$I21))</f>
        <v>0.0288879685235038</v>
      </c>
      <c r="Q21" s="11" t="n">
        <f aca="false">IF(SUM($B21:$I21)=0,0,I21/SUM($B21:$I21))</f>
        <v>0</v>
      </c>
    </row>
    <row r="22" customFormat="false" ht="15" hidden="false" customHeight="false" outlineLevel="0" collapsed="false">
      <c r="A22" s="13" t="s">
        <v>466</v>
      </c>
      <c r="B22" s="9" t="n">
        <v>0</v>
      </c>
      <c r="C22" s="9" t="n">
        <v>0</v>
      </c>
      <c r="D22" s="9" t="n">
        <v>0.01</v>
      </c>
      <c r="E22" s="9" t="n">
        <v>1.19</v>
      </c>
      <c r="F22" s="9" t="n">
        <v>22.15</v>
      </c>
      <c r="G22" s="9" t="n">
        <v>88.42</v>
      </c>
      <c r="H22" s="9" t="n">
        <v>30.33</v>
      </c>
      <c r="I22" s="9" t="n">
        <v>1.12</v>
      </c>
      <c r="J22" s="11" t="n">
        <f aca="false">IF(SUM($B22:$I22)=0,0,B22/SUM($B22:$I22))</f>
        <v>0</v>
      </c>
      <c r="K22" s="11" t="n">
        <f aca="false">IF(SUM($B22:$I22)=0,0,C22/SUM($B22:$I22))</f>
        <v>0</v>
      </c>
      <c r="L22" s="11" t="n">
        <f aca="false">IF(SUM($B22:$I22)=0,0,D22/SUM($B22:$I22))</f>
        <v>6.98226504678118E-005</v>
      </c>
      <c r="M22" s="11" t="n">
        <f aca="false">IF(SUM($B22:$I22)=0,0,E22/SUM($B22:$I22))</f>
        <v>0.0083088954056696</v>
      </c>
      <c r="N22" s="11" t="n">
        <f aca="false">IF(SUM($B22:$I22)=0,0,F22/SUM($B22:$I22))</f>
        <v>0.154657170786203</v>
      </c>
      <c r="O22" s="11" t="n">
        <f aca="false">IF(SUM($B22:$I22)=0,0,G22/SUM($B22:$I22))</f>
        <v>0.617371875436392</v>
      </c>
      <c r="P22" s="11" t="n">
        <f aca="false">IF(SUM($B22:$I22)=0,0,H22/SUM($B22:$I22))</f>
        <v>0.211772098868873</v>
      </c>
      <c r="Q22" s="11" t="n">
        <f aca="false">IF(SUM($B22:$I22)=0,0,I22/SUM($B22:$I22))</f>
        <v>0.00782013685239492</v>
      </c>
    </row>
    <row r="23" customFormat="false" ht="15" hidden="false" customHeight="false" outlineLevel="0" collapsed="false">
      <c r="A23" s="13" t="s">
        <v>467</v>
      </c>
      <c r="B23" s="9" t="n">
        <v>0</v>
      </c>
      <c r="C23" s="9" t="n">
        <v>0</v>
      </c>
      <c r="D23" s="9" t="n">
        <v>0</v>
      </c>
      <c r="E23" s="9" t="n">
        <v>0.01</v>
      </c>
      <c r="F23" s="9" t="n">
        <v>1.19</v>
      </c>
      <c r="G23" s="9" t="n">
        <v>22.15</v>
      </c>
      <c r="H23" s="9" t="n">
        <v>35.37</v>
      </c>
      <c r="I23" s="9" t="n">
        <v>6.07</v>
      </c>
      <c r="J23" s="11" t="n">
        <f aca="false">IF(SUM($B23:$I23)=0,0,B23/SUM($B23:$I23))</f>
        <v>0</v>
      </c>
      <c r="K23" s="11" t="n">
        <f aca="false">IF(SUM($B23:$I23)=0,0,C23/SUM($B23:$I23))</f>
        <v>0</v>
      </c>
      <c r="L23" s="11" t="n">
        <f aca="false">IF(SUM($B23:$I23)=0,0,D23/SUM($B23:$I23))</f>
        <v>0</v>
      </c>
      <c r="M23" s="11" t="n">
        <f aca="false">IF(SUM($B23:$I23)=0,0,E23/SUM($B23:$I23))</f>
        <v>0.000154344806297268</v>
      </c>
      <c r="N23" s="11" t="n">
        <f aca="false">IF(SUM($B23:$I23)=0,0,F23/SUM($B23:$I23))</f>
        <v>0.0183670319493749</v>
      </c>
      <c r="O23" s="11" t="n">
        <f aca="false">IF(SUM($B23:$I23)=0,0,G23/SUM($B23:$I23))</f>
        <v>0.341873745948449</v>
      </c>
      <c r="P23" s="11" t="n">
        <f aca="false">IF(SUM($B23:$I23)=0,0,H23/SUM($B23:$I23))</f>
        <v>0.545917579873437</v>
      </c>
      <c r="Q23" s="11" t="n">
        <f aca="false">IF(SUM($B23:$I23)=0,0,I23/SUM($B23:$I23))</f>
        <v>0.0936872974224418</v>
      </c>
    </row>
    <row r="24" customFormat="false" ht="15" hidden="false" customHeight="false" outlineLevel="0" collapsed="false">
      <c r="A24" s="13" t="s">
        <v>468</v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0.01</v>
      </c>
      <c r="G24" s="9" t="n">
        <v>1.19</v>
      </c>
      <c r="H24" s="9" t="n">
        <v>8.86</v>
      </c>
      <c r="I24" s="9" t="n">
        <v>7.07</v>
      </c>
      <c r="J24" s="11" t="n">
        <f aca="false">IF(SUM($B24:$I24)=0,0,B24/SUM($B24:$I24))</f>
        <v>0</v>
      </c>
      <c r="K24" s="11" t="n">
        <f aca="false">IF(SUM($B24:$I24)=0,0,C24/SUM($B24:$I24))</f>
        <v>0</v>
      </c>
      <c r="L24" s="11" t="n">
        <f aca="false">IF(SUM($B24:$I24)=0,0,D24/SUM($B24:$I24))</f>
        <v>0</v>
      </c>
      <c r="M24" s="11" t="n">
        <f aca="false">IF(SUM($B24:$I24)=0,0,E24/SUM($B24:$I24))</f>
        <v>0</v>
      </c>
      <c r="N24" s="11" t="n">
        <f aca="false">IF(SUM($B24:$I24)=0,0,F24/SUM($B24:$I24))</f>
        <v>0.000583771161704612</v>
      </c>
      <c r="O24" s="11" t="n">
        <f aca="false">IF(SUM($B24:$I24)=0,0,G24/SUM($B24:$I24))</f>
        <v>0.0694687682428488</v>
      </c>
      <c r="P24" s="11" t="n">
        <f aca="false">IF(SUM($B24:$I24)=0,0,H24/SUM($B24:$I24))</f>
        <v>0.517221249270286</v>
      </c>
      <c r="Q24" s="11" t="n">
        <f aca="false">IF(SUM($B24:$I24)=0,0,I24/SUM($B24:$I24))</f>
        <v>0.412726211325161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5" hidden="false" customHeight="false" outlineLevel="0" collapsed="false">
      <c r="A26" s="16" t="s">
        <v>470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27.6" hidden="false" customHeight="false" outlineLevel="0" collapsed="false">
      <c r="A27" s="33" t="s">
        <v>444</v>
      </c>
      <c r="B27" s="34" t="s">
        <v>445</v>
      </c>
      <c r="C27" s="34" t="s">
        <v>446</v>
      </c>
      <c r="D27" s="34" t="s">
        <v>447</v>
      </c>
      <c r="E27" s="34" t="s">
        <v>448</v>
      </c>
      <c r="F27" s="34" t="s">
        <v>449</v>
      </c>
      <c r="G27" s="34" t="s">
        <v>450</v>
      </c>
      <c r="H27" s="34" t="s">
        <v>451</v>
      </c>
      <c r="I27" s="34" t="s">
        <v>452</v>
      </c>
      <c r="J27" s="34" t="s">
        <v>453</v>
      </c>
      <c r="K27" s="34" t="s">
        <v>454</v>
      </c>
      <c r="L27" s="34" t="s">
        <v>455</v>
      </c>
      <c r="M27" s="34" t="s">
        <v>456</v>
      </c>
      <c r="N27" s="34" t="s">
        <v>457</v>
      </c>
      <c r="O27" s="34" t="s">
        <v>458</v>
      </c>
      <c r="P27" s="34" t="s">
        <v>459</v>
      </c>
      <c r="Q27" s="34" t="s">
        <v>460</v>
      </c>
    </row>
    <row r="28" customFormat="false" ht="15" hidden="false" customHeight="false" outlineLevel="0" collapsed="false">
      <c r="A28" s="13" t="s">
        <v>461</v>
      </c>
      <c r="B28" s="9" t="n">
        <v>46.34</v>
      </c>
      <c r="C28" s="9" t="n">
        <v>100</v>
      </c>
      <c r="D28" s="9" t="n">
        <v>46.34</v>
      </c>
      <c r="E28" s="9" t="n">
        <v>4.61</v>
      </c>
      <c r="F28" s="9" t="n">
        <v>0.1</v>
      </c>
      <c r="G28" s="9" t="n">
        <v>0</v>
      </c>
      <c r="H28" s="9" t="n">
        <v>0</v>
      </c>
      <c r="I28" s="9" t="n">
        <v>0</v>
      </c>
      <c r="J28" s="11" t="n">
        <f aca="false">IF(SUM($B28:$I28)=0,0,B28/SUM($B28:$I28))</f>
        <v>0.234763665839202</v>
      </c>
      <c r="K28" s="11" t="n">
        <f aca="false">IF(SUM($B28:$I28)=0,0,C28/SUM($B28:$I28))</f>
        <v>0.50661127716703</v>
      </c>
      <c r="L28" s="11" t="n">
        <f aca="false">IF(SUM($B28:$I28)=0,0,D28/SUM($B28:$I28))</f>
        <v>0.234763665839202</v>
      </c>
      <c r="M28" s="11" t="n">
        <f aca="false">IF(SUM($B28:$I28)=0,0,E28/SUM($B28:$I28))</f>
        <v>0.0233547798774001</v>
      </c>
      <c r="N28" s="11" t="n">
        <f aca="false">IF(SUM($B28:$I28)=0,0,F28/SUM($B28:$I28))</f>
        <v>0.00050661127716703</v>
      </c>
      <c r="O28" s="11" t="n">
        <f aca="false">IF(SUM($B28:$I28)=0,0,G28/SUM($B28:$I28))</f>
        <v>0</v>
      </c>
      <c r="P28" s="11" t="n">
        <f aca="false">IF(SUM($B28:$I28)=0,0,H28/SUM($B28:$I28))</f>
        <v>0</v>
      </c>
      <c r="Q28" s="11" t="n">
        <f aca="false">IF(SUM($B28:$I28)=0,0,I28/SUM($B28:$I28))</f>
        <v>0</v>
      </c>
    </row>
    <row r="29" customFormat="false" ht="15" hidden="false" customHeight="false" outlineLevel="0" collapsed="false">
      <c r="A29" s="13" t="s">
        <v>462</v>
      </c>
      <c r="B29" s="9" t="n">
        <v>4.61</v>
      </c>
      <c r="C29" s="9" t="n">
        <v>46.34</v>
      </c>
      <c r="D29" s="9" t="n">
        <v>100</v>
      </c>
      <c r="E29" s="9" t="n">
        <v>46.34</v>
      </c>
      <c r="F29" s="9" t="n">
        <v>4.61</v>
      </c>
      <c r="G29" s="9" t="n">
        <v>0.1</v>
      </c>
      <c r="H29" s="9" t="n">
        <v>0</v>
      </c>
      <c r="I29" s="9" t="n">
        <v>0</v>
      </c>
      <c r="J29" s="11" t="n">
        <f aca="false">IF(SUM($B29:$I29)=0,0,B29/SUM($B29:$I29))</f>
        <v>0.0228217821782178</v>
      </c>
      <c r="K29" s="11" t="n">
        <f aca="false">IF(SUM($B29:$I29)=0,0,C29/SUM($B29:$I29))</f>
        <v>0.229405940594059</v>
      </c>
      <c r="L29" s="11" t="n">
        <f aca="false">IF(SUM($B29:$I29)=0,0,D29/SUM($B29:$I29))</f>
        <v>0.495049504950495</v>
      </c>
      <c r="M29" s="11" t="n">
        <f aca="false">IF(SUM($B29:$I29)=0,0,E29/SUM($B29:$I29))</f>
        <v>0.229405940594059</v>
      </c>
      <c r="N29" s="11" t="n">
        <f aca="false">IF(SUM($B29:$I29)=0,0,F29/SUM($B29:$I29))</f>
        <v>0.0228217821782178</v>
      </c>
      <c r="O29" s="11" t="n">
        <f aca="false">IF(SUM($B29:$I29)=0,0,G29/SUM($B29:$I29))</f>
        <v>0.000495049504950495</v>
      </c>
      <c r="P29" s="11" t="n">
        <f aca="false">IF(SUM($B29:$I29)=0,0,H29/SUM($B29:$I29))</f>
        <v>0</v>
      </c>
      <c r="Q29" s="11" t="n">
        <f aca="false">IF(SUM($B29:$I29)=0,0,I29/SUM($B29:$I29))</f>
        <v>0</v>
      </c>
    </row>
    <row r="30" customFormat="false" ht="15" hidden="false" customHeight="false" outlineLevel="0" collapsed="false">
      <c r="A30" s="13" t="s">
        <v>463</v>
      </c>
      <c r="B30" s="9" t="n">
        <v>0.1</v>
      </c>
      <c r="C30" s="9" t="n">
        <v>4.61</v>
      </c>
      <c r="D30" s="9" t="n">
        <v>46.34</v>
      </c>
      <c r="E30" s="9" t="n">
        <v>100</v>
      </c>
      <c r="F30" s="9" t="n">
        <v>46.34</v>
      </c>
      <c r="G30" s="9" t="n">
        <v>4.61</v>
      </c>
      <c r="H30" s="9" t="n">
        <v>0</v>
      </c>
      <c r="I30" s="9" t="n">
        <v>0</v>
      </c>
      <c r="J30" s="11" t="n">
        <f aca="false">IF(SUM($B30:$I30)=0,0,B30/SUM($B30:$I30))</f>
        <v>0.000495049504950495</v>
      </c>
      <c r="K30" s="11" t="n">
        <f aca="false">IF(SUM($B30:$I30)=0,0,C30/SUM($B30:$I30))</f>
        <v>0.0228217821782178</v>
      </c>
      <c r="L30" s="11" t="n">
        <f aca="false">IF(SUM($B30:$I30)=0,0,D30/SUM($B30:$I30))</f>
        <v>0.229405940594059</v>
      </c>
      <c r="M30" s="11" t="n">
        <f aca="false">IF(SUM($B30:$I30)=0,0,E30/SUM($B30:$I30))</f>
        <v>0.495049504950495</v>
      </c>
      <c r="N30" s="11" t="n">
        <f aca="false">IF(SUM($B30:$I30)=0,0,F30/SUM($B30:$I30))</f>
        <v>0.229405940594059</v>
      </c>
      <c r="O30" s="11" t="n">
        <f aca="false">IF(SUM($B30:$I30)=0,0,G30/SUM($B30:$I30))</f>
        <v>0.0228217821782178</v>
      </c>
      <c r="P30" s="11" t="n">
        <f aca="false">IF(SUM($B30:$I30)=0,0,H30/SUM($B30:$I30))</f>
        <v>0</v>
      </c>
      <c r="Q30" s="11" t="n">
        <f aca="false">IF(SUM($B30:$I30)=0,0,I30/SUM($B30:$I30))</f>
        <v>0</v>
      </c>
    </row>
    <row r="31" customFormat="false" ht="15" hidden="false" customHeight="false" outlineLevel="0" collapsed="false">
      <c r="A31" s="13" t="s">
        <v>464</v>
      </c>
      <c r="B31" s="9" t="n">
        <v>0</v>
      </c>
      <c r="C31" s="9" t="n">
        <v>0.1</v>
      </c>
      <c r="D31" s="9" t="n">
        <v>4.61</v>
      </c>
      <c r="E31" s="9" t="n">
        <v>46.34</v>
      </c>
      <c r="F31" s="9" t="n">
        <v>100</v>
      </c>
      <c r="G31" s="9" t="n">
        <v>46.34</v>
      </c>
      <c r="H31" s="9" t="n">
        <v>3.69</v>
      </c>
      <c r="I31" s="9" t="n">
        <v>0</v>
      </c>
      <c r="J31" s="11" t="n">
        <f aca="false">IF(SUM($B31:$I31)=0,0,B31/SUM($B31:$I31))</f>
        <v>0</v>
      </c>
      <c r="K31" s="11" t="n">
        <f aca="false">IF(SUM($B31:$I31)=0,0,C31/SUM($B31:$I31))</f>
        <v>0.000497314501690869</v>
      </c>
      <c r="L31" s="11" t="n">
        <f aca="false">IF(SUM($B31:$I31)=0,0,D31/SUM($B31:$I31))</f>
        <v>0.0229261985279491</v>
      </c>
      <c r="M31" s="11" t="n">
        <f aca="false">IF(SUM($B31:$I31)=0,0,E31/SUM($B31:$I31))</f>
        <v>0.230455540083549</v>
      </c>
      <c r="N31" s="11" t="n">
        <f aca="false">IF(SUM($B31:$I31)=0,0,F31/SUM($B31:$I31))</f>
        <v>0.497314501690869</v>
      </c>
      <c r="O31" s="11" t="n">
        <f aca="false">IF(SUM($B31:$I31)=0,0,G31/SUM($B31:$I31))</f>
        <v>0.230455540083549</v>
      </c>
      <c r="P31" s="11" t="n">
        <f aca="false">IF(SUM($B31:$I31)=0,0,H31/SUM($B31:$I31))</f>
        <v>0.0183509051123931</v>
      </c>
      <c r="Q31" s="11" t="n">
        <f aca="false">IF(SUM($B31:$I31)=0,0,I31/SUM($B31:$I31))</f>
        <v>0</v>
      </c>
    </row>
    <row r="32" customFormat="false" ht="15" hidden="false" customHeight="false" outlineLevel="0" collapsed="false">
      <c r="A32" s="13" t="s">
        <v>465</v>
      </c>
      <c r="B32" s="9" t="n">
        <v>0</v>
      </c>
      <c r="C32" s="9" t="n">
        <v>0</v>
      </c>
      <c r="D32" s="9" t="n">
        <v>0.1</v>
      </c>
      <c r="E32" s="9" t="n">
        <v>4.61</v>
      </c>
      <c r="F32" s="9" t="n">
        <v>46.34</v>
      </c>
      <c r="G32" s="9" t="n">
        <v>100</v>
      </c>
      <c r="H32" s="9" t="n">
        <v>37.07</v>
      </c>
      <c r="I32" s="9" t="n">
        <v>0</v>
      </c>
      <c r="J32" s="11" t="n">
        <f aca="false">IF(SUM($B32:$I32)=0,0,B32/SUM($B32:$I32))</f>
        <v>0</v>
      </c>
      <c r="K32" s="11" t="n">
        <f aca="false">IF(SUM($B32:$I32)=0,0,C32/SUM($B32:$I32))</f>
        <v>0</v>
      </c>
      <c r="L32" s="11" t="n">
        <f aca="false">IF(SUM($B32:$I32)=0,0,D32/SUM($B32:$I32))</f>
        <v>0.000531575590048905</v>
      </c>
      <c r="M32" s="11" t="n">
        <f aca="false">IF(SUM($B32:$I32)=0,0,E32/SUM($B32:$I32))</f>
        <v>0.0245056347012545</v>
      </c>
      <c r="N32" s="11" t="n">
        <f aca="false">IF(SUM($B32:$I32)=0,0,F32/SUM($B32:$I32))</f>
        <v>0.246332128428663</v>
      </c>
      <c r="O32" s="11" t="n">
        <f aca="false">IF(SUM($B32:$I32)=0,0,G32/SUM($B32:$I32))</f>
        <v>0.531575590048905</v>
      </c>
      <c r="P32" s="11" t="n">
        <f aca="false">IF(SUM($B32:$I32)=0,0,H32/SUM($B32:$I32))</f>
        <v>0.197055071231129</v>
      </c>
      <c r="Q32" s="11" t="n">
        <f aca="false">IF(SUM($B32:$I32)=0,0,I32/SUM($B32:$I32))</f>
        <v>0</v>
      </c>
    </row>
    <row r="33" customFormat="false" ht="15" hidden="false" customHeight="false" outlineLevel="0" collapsed="false">
      <c r="A33" s="13" t="s">
        <v>466</v>
      </c>
      <c r="B33" s="9" t="n">
        <v>0</v>
      </c>
      <c r="C33" s="9" t="n">
        <v>0</v>
      </c>
      <c r="D33" s="9" t="n">
        <v>0</v>
      </c>
      <c r="E33" s="9" t="n">
        <v>0.1</v>
      </c>
      <c r="F33" s="9" t="n">
        <v>4.61</v>
      </c>
      <c r="G33" s="9" t="n">
        <v>46.34</v>
      </c>
      <c r="H33" s="9" t="n">
        <v>80</v>
      </c>
      <c r="I33" s="9" t="n">
        <v>16.22</v>
      </c>
      <c r="J33" s="11" t="n">
        <f aca="false">IF(SUM($B33:$I33)=0,0,B33/SUM($B33:$I33))</f>
        <v>0</v>
      </c>
      <c r="K33" s="11" t="n">
        <f aca="false">IF(SUM($B33:$I33)=0,0,C33/SUM($B33:$I33))</f>
        <v>0</v>
      </c>
      <c r="L33" s="11" t="n">
        <f aca="false">IF(SUM($B33:$I33)=0,0,D33/SUM($B33:$I33))</f>
        <v>0</v>
      </c>
      <c r="M33" s="11" t="n">
        <f aca="false">IF(SUM($B33:$I33)=0,0,E33/SUM($B33:$I33))</f>
        <v>0.000679024920214572</v>
      </c>
      <c r="N33" s="11" t="n">
        <f aca="false">IF(SUM($B33:$I33)=0,0,F33/SUM($B33:$I33))</f>
        <v>0.0313030488218918</v>
      </c>
      <c r="O33" s="11" t="n">
        <f aca="false">IF(SUM($B33:$I33)=0,0,G33/SUM($B33:$I33))</f>
        <v>0.314660148027433</v>
      </c>
      <c r="P33" s="11" t="n">
        <f aca="false">IF(SUM($B33:$I33)=0,0,H33/SUM($B33:$I33))</f>
        <v>0.543219936171657</v>
      </c>
      <c r="Q33" s="11" t="n">
        <f aca="false">IF(SUM($B33:$I33)=0,0,I33/SUM($B33:$I33))</f>
        <v>0.110137842058804</v>
      </c>
    </row>
    <row r="34" customFormat="false" ht="15" hidden="false" customHeight="false" outlineLevel="0" collapsed="false">
      <c r="A34" s="13" t="s">
        <v>467</v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0.1</v>
      </c>
      <c r="G34" s="9" t="n">
        <v>4.61</v>
      </c>
      <c r="H34" s="9" t="n">
        <v>37.07</v>
      </c>
      <c r="I34" s="9" t="n">
        <v>35</v>
      </c>
      <c r="J34" s="11" t="n">
        <f aca="false">IF(SUM($B34:$I34)=0,0,B34/SUM($B34:$I34))</f>
        <v>0</v>
      </c>
      <c r="K34" s="11" t="n">
        <f aca="false">IF(SUM($B34:$I34)=0,0,C34/SUM($B34:$I34))</f>
        <v>0</v>
      </c>
      <c r="L34" s="11" t="n">
        <f aca="false">IF(SUM($B34:$I34)=0,0,D34/SUM($B34:$I34))</f>
        <v>0</v>
      </c>
      <c r="M34" s="11" t="n">
        <f aca="false">IF(SUM($B34:$I34)=0,0,E34/SUM($B34:$I34))</f>
        <v>0</v>
      </c>
      <c r="N34" s="11" t="n">
        <f aca="false">IF(SUM($B34:$I34)=0,0,F34/SUM($B34:$I34))</f>
        <v>0.0013024225058609</v>
      </c>
      <c r="O34" s="11" t="n">
        <f aca="false">IF(SUM($B34:$I34)=0,0,G34/SUM($B34:$I34))</f>
        <v>0.0600416775201876</v>
      </c>
      <c r="P34" s="11" t="n">
        <f aca="false">IF(SUM($B34:$I34)=0,0,H34/SUM($B34:$I34))</f>
        <v>0.482808022922636</v>
      </c>
      <c r="Q34" s="11" t="n">
        <f aca="false">IF(SUM($B34:$I34)=0,0,I34/SUM($B34:$I34))</f>
        <v>0.455847877051315</v>
      </c>
    </row>
    <row r="35" customFormat="false" ht="15" hidden="false" customHeight="false" outlineLevel="0" collapsed="false">
      <c r="A35" s="13" t="s">
        <v>468</v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0.1</v>
      </c>
      <c r="H35" s="9" t="n">
        <v>3.69</v>
      </c>
      <c r="I35" s="9" t="n">
        <v>16.22</v>
      </c>
      <c r="J35" s="11" t="n">
        <f aca="false">IF(SUM($B35:$I35)=0,0,B35/SUM($B35:$I35))</f>
        <v>0</v>
      </c>
      <c r="K35" s="11" t="n">
        <f aca="false">IF(SUM($B35:$I35)=0,0,C35/SUM($B35:$I35))</f>
        <v>0</v>
      </c>
      <c r="L35" s="11" t="n">
        <f aca="false">IF(SUM($B35:$I35)=0,0,D35/SUM($B35:$I35))</f>
        <v>0</v>
      </c>
      <c r="M35" s="11" t="n">
        <f aca="false">IF(SUM($B35:$I35)=0,0,E35/SUM($B35:$I35))</f>
        <v>0</v>
      </c>
      <c r="N35" s="11" t="n">
        <f aca="false">IF(SUM($B35:$I35)=0,0,F35/SUM($B35:$I35))</f>
        <v>0</v>
      </c>
      <c r="O35" s="11" t="n">
        <f aca="false">IF(SUM($B35:$I35)=0,0,G35/SUM($B35:$I35))</f>
        <v>0.00499750124937531</v>
      </c>
      <c r="P35" s="11" t="n">
        <f aca="false">IF(SUM($B35:$I35)=0,0,H35/SUM($B35:$I35))</f>
        <v>0.184407796101949</v>
      </c>
      <c r="Q35" s="11" t="n">
        <f aca="false">IF(SUM($B35:$I35)=0,0,I35/SUM($B35:$I35))</f>
        <v>0.810594702648676</v>
      </c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" hidden="false" customHeight="false" outlineLevel="0" collapsed="false">
      <c r="A37" s="16" t="s">
        <v>471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27.6" hidden="false" customHeight="false" outlineLevel="0" collapsed="false">
      <c r="A38" s="33" t="s">
        <v>444</v>
      </c>
      <c r="B38" s="34" t="s">
        <v>445</v>
      </c>
      <c r="C38" s="34" t="s">
        <v>446</v>
      </c>
      <c r="D38" s="34" t="s">
        <v>447</v>
      </c>
      <c r="E38" s="34" t="s">
        <v>448</v>
      </c>
      <c r="F38" s="34" t="s">
        <v>449</v>
      </c>
      <c r="G38" s="34" t="s">
        <v>450</v>
      </c>
      <c r="H38" s="34" t="s">
        <v>451</v>
      </c>
      <c r="I38" s="34" t="s">
        <v>452</v>
      </c>
      <c r="J38" s="34" t="s">
        <v>453</v>
      </c>
      <c r="K38" s="34" t="s">
        <v>454</v>
      </c>
      <c r="L38" s="34" t="s">
        <v>455</v>
      </c>
      <c r="M38" s="34" t="s">
        <v>456</v>
      </c>
      <c r="N38" s="34" t="s">
        <v>457</v>
      </c>
      <c r="O38" s="34" t="s">
        <v>458</v>
      </c>
      <c r="P38" s="34" t="s">
        <v>459</v>
      </c>
      <c r="Q38" s="34" t="s">
        <v>460</v>
      </c>
    </row>
    <row r="39" customFormat="false" ht="15" hidden="false" customHeight="false" outlineLevel="0" collapsed="false">
      <c r="A39" s="13" t="s">
        <v>461</v>
      </c>
      <c r="B39" s="9" t="n">
        <v>46.34</v>
      </c>
      <c r="C39" s="9" t="n">
        <v>4.61</v>
      </c>
      <c r="D39" s="9" t="n">
        <v>0.1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11" t="n">
        <f aca="false">IF(SUM($B39:$I39)=0,0,B39/SUM($B39:$I39))</f>
        <v>0.907737512242899</v>
      </c>
      <c r="K39" s="11" t="n">
        <f aca="false">IF(SUM($B39:$I39)=0,0,C39/SUM($B39:$I39))</f>
        <v>0.0903036238981391</v>
      </c>
      <c r="L39" s="11" t="n">
        <f aca="false">IF(SUM($B39:$I39)=0,0,D39/SUM($B39:$I39))</f>
        <v>0.0019588638589618</v>
      </c>
      <c r="M39" s="11" t="n">
        <f aca="false">IF(SUM($B39:$I39)=0,0,E39/SUM($B39:$I39))</f>
        <v>0</v>
      </c>
      <c r="N39" s="11" t="n">
        <f aca="false">IF(SUM($B39:$I39)=0,0,F39/SUM($B39:$I39))</f>
        <v>0</v>
      </c>
      <c r="O39" s="11" t="n">
        <f aca="false">IF(SUM($B39:$I39)=0,0,G39/SUM($B39:$I39))</f>
        <v>0</v>
      </c>
      <c r="P39" s="11" t="n">
        <f aca="false">IF(SUM($B39:$I39)=0,0,H39/SUM($B39:$I39))</f>
        <v>0</v>
      </c>
      <c r="Q39" s="11" t="n">
        <f aca="false">IF(SUM($B39:$I39)=0,0,I39/SUM($B39:$I39))</f>
        <v>0</v>
      </c>
    </row>
    <row r="40" customFormat="false" ht="15" hidden="false" customHeight="false" outlineLevel="0" collapsed="false">
      <c r="A40" s="13" t="s">
        <v>462</v>
      </c>
      <c r="B40" s="9" t="n">
        <v>100</v>
      </c>
      <c r="C40" s="9" t="n">
        <v>46.34</v>
      </c>
      <c r="D40" s="9" t="n">
        <v>4.61</v>
      </c>
      <c r="E40" s="9" t="n">
        <v>0.1</v>
      </c>
      <c r="F40" s="9" t="n">
        <v>0</v>
      </c>
      <c r="G40" s="9" t="n">
        <v>0</v>
      </c>
      <c r="H40" s="9" t="n">
        <v>0</v>
      </c>
      <c r="I40" s="9" t="n">
        <v>0</v>
      </c>
      <c r="J40" s="11" t="n">
        <f aca="false">IF(SUM($B40:$I40)=0,0,B40/SUM($B40:$I40))</f>
        <v>0.66203243958954</v>
      </c>
      <c r="K40" s="11" t="n">
        <f aca="false">IF(SUM($B40:$I40)=0,0,C40/SUM($B40:$I40))</f>
        <v>0.306785832505793</v>
      </c>
      <c r="L40" s="11" t="n">
        <f aca="false">IF(SUM($B40:$I40)=0,0,D40/SUM($B40:$I40))</f>
        <v>0.0305196954650778</v>
      </c>
      <c r="M40" s="11" t="n">
        <f aca="false">IF(SUM($B40:$I40)=0,0,E40/SUM($B40:$I40))</f>
        <v>0.00066203243958954</v>
      </c>
      <c r="N40" s="11" t="n">
        <f aca="false">IF(SUM($B40:$I40)=0,0,F40/SUM($B40:$I40))</f>
        <v>0</v>
      </c>
      <c r="O40" s="11" t="n">
        <f aca="false">IF(SUM($B40:$I40)=0,0,G40/SUM($B40:$I40))</f>
        <v>0</v>
      </c>
      <c r="P40" s="11" t="n">
        <f aca="false">IF(SUM($B40:$I40)=0,0,H40/SUM($B40:$I40))</f>
        <v>0</v>
      </c>
      <c r="Q40" s="11" t="n">
        <f aca="false">IF(SUM($B40:$I40)=0,0,I40/SUM($B40:$I40))</f>
        <v>0</v>
      </c>
    </row>
    <row r="41" customFormat="false" ht="15" hidden="false" customHeight="false" outlineLevel="0" collapsed="false">
      <c r="A41" s="13" t="s">
        <v>463</v>
      </c>
      <c r="B41" s="9" t="n">
        <v>46.34</v>
      </c>
      <c r="C41" s="9" t="n">
        <v>100</v>
      </c>
      <c r="D41" s="9" t="n">
        <v>46.34</v>
      </c>
      <c r="E41" s="9" t="n">
        <v>4.61</v>
      </c>
      <c r="F41" s="9" t="n">
        <v>0</v>
      </c>
      <c r="G41" s="9" t="n">
        <v>0</v>
      </c>
      <c r="H41" s="9" t="n">
        <v>0</v>
      </c>
      <c r="I41" s="9" t="n">
        <v>0</v>
      </c>
      <c r="J41" s="11" t="n">
        <f aca="false">IF(SUM($B41:$I41)=0,0,B41/SUM($B41:$I41))</f>
        <v>0.234882660043591</v>
      </c>
      <c r="K41" s="11" t="n">
        <f aca="false">IF(SUM($B41:$I41)=0,0,C41/SUM($B41:$I41))</f>
        <v>0.506868062243398</v>
      </c>
      <c r="L41" s="11" t="n">
        <f aca="false">IF(SUM($B41:$I41)=0,0,D41/SUM($B41:$I41))</f>
        <v>0.234882660043591</v>
      </c>
      <c r="M41" s="11" t="n">
        <f aca="false">IF(SUM($B41:$I41)=0,0,E41/SUM($B41:$I41))</f>
        <v>0.0233666176694207</v>
      </c>
      <c r="N41" s="11" t="n">
        <f aca="false">IF(SUM($B41:$I41)=0,0,F41/SUM($B41:$I41))</f>
        <v>0</v>
      </c>
      <c r="O41" s="11" t="n">
        <f aca="false">IF(SUM($B41:$I41)=0,0,G41/SUM($B41:$I41))</f>
        <v>0</v>
      </c>
      <c r="P41" s="11" t="n">
        <f aca="false">IF(SUM($B41:$I41)=0,0,H41/SUM($B41:$I41))</f>
        <v>0</v>
      </c>
      <c r="Q41" s="11" t="n">
        <f aca="false">IF(SUM($B41:$I41)=0,0,I41/SUM($B41:$I41))</f>
        <v>0</v>
      </c>
    </row>
    <row r="42" customFormat="false" ht="15" hidden="false" customHeight="false" outlineLevel="0" collapsed="false">
      <c r="A42" s="13" t="s">
        <v>464</v>
      </c>
      <c r="B42" s="9" t="n">
        <v>4.61</v>
      </c>
      <c r="C42" s="9" t="n">
        <v>46.34</v>
      </c>
      <c r="D42" s="9" t="n">
        <v>100</v>
      </c>
      <c r="E42" s="9" t="n">
        <v>46.34</v>
      </c>
      <c r="F42" s="9" t="n">
        <v>0</v>
      </c>
      <c r="G42" s="9" t="n">
        <v>0</v>
      </c>
      <c r="H42" s="9" t="n">
        <v>0</v>
      </c>
      <c r="I42" s="9" t="n">
        <v>0</v>
      </c>
      <c r="J42" s="11" t="n">
        <f aca="false">IF(SUM($B42:$I42)=0,0,B42/SUM($B42:$I42))</f>
        <v>0.0233666176694207</v>
      </c>
      <c r="K42" s="11" t="n">
        <f aca="false">IF(SUM($B42:$I42)=0,0,C42/SUM($B42:$I42))</f>
        <v>0.234882660043591</v>
      </c>
      <c r="L42" s="11" t="n">
        <f aca="false">IF(SUM($B42:$I42)=0,0,D42/SUM($B42:$I42))</f>
        <v>0.506868062243398</v>
      </c>
      <c r="M42" s="11" t="n">
        <f aca="false">IF(SUM($B42:$I42)=0,0,E42/SUM($B42:$I42))</f>
        <v>0.234882660043591</v>
      </c>
      <c r="N42" s="11" t="n">
        <f aca="false">IF(SUM($B42:$I42)=0,0,F42/SUM($B42:$I42))</f>
        <v>0</v>
      </c>
      <c r="O42" s="11" t="n">
        <f aca="false">IF(SUM($B42:$I42)=0,0,G42/SUM($B42:$I42))</f>
        <v>0</v>
      </c>
      <c r="P42" s="11" t="n">
        <f aca="false">IF(SUM($B42:$I42)=0,0,H42/SUM($B42:$I42))</f>
        <v>0</v>
      </c>
      <c r="Q42" s="11" t="n">
        <f aca="false">IF(SUM($B42:$I42)=0,0,I42/SUM($B42:$I42))</f>
        <v>0</v>
      </c>
    </row>
    <row r="43" customFormat="false" ht="15" hidden="false" customHeight="false" outlineLevel="0" collapsed="false">
      <c r="A43" s="13" t="s">
        <v>465</v>
      </c>
      <c r="B43" s="9" t="n">
        <v>0.1</v>
      </c>
      <c r="C43" s="9" t="n">
        <v>4.61</v>
      </c>
      <c r="D43" s="9" t="n">
        <v>46.34</v>
      </c>
      <c r="E43" s="9" t="n">
        <v>100</v>
      </c>
      <c r="F43" s="9" t="n">
        <v>0</v>
      </c>
      <c r="G43" s="9" t="n">
        <v>0</v>
      </c>
      <c r="H43" s="9" t="n">
        <v>0</v>
      </c>
      <c r="I43" s="9" t="n">
        <v>0</v>
      </c>
      <c r="J43" s="11" t="n">
        <f aca="false">IF(SUM($B43:$I43)=0,0,B43/SUM($B43:$I43))</f>
        <v>0.00066203243958954</v>
      </c>
      <c r="K43" s="11" t="n">
        <f aca="false">IF(SUM($B43:$I43)=0,0,C43/SUM($B43:$I43))</f>
        <v>0.0305196954650778</v>
      </c>
      <c r="L43" s="11" t="n">
        <f aca="false">IF(SUM($B43:$I43)=0,0,D43/SUM($B43:$I43))</f>
        <v>0.306785832505793</v>
      </c>
      <c r="M43" s="11" t="n">
        <f aca="false">IF(SUM($B43:$I43)=0,0,E43/SUM($B43:$I43))</f>
        <v>0.66203243958954</v>
      </c>
      <c r="N43" s="11" t="n">
        <f aca="false">IF(SUM($B43:$I43)=0,0,F43/SUM($B43:$I43))</f>
        <v>0</v>
      </c>
      <c r="O43" s="11" t="n">
        <f aca="false">IF(SUM($B43:$I43)=0,0,G43/SUM($B43:$I43))</f>
        <v>0</v>
      </c>
      <c r="P43" s="11" t="n">
        <f aca="false">IF(SUM($B43:$I43)=0,0,H43/SUM($B43:$I43))</f>
        <v>0</v>
      </c>
      <c r="Q43" s="11" t="n">
        <f aca="false">IF(SUM($B43:$I43)=0,0,I43/SUM($B43:$I43))</f>
        <v>0</v>
      </c>
    </row>
    <row r="44" customFormat="false" ht="15" hidden="false" customHeight="false" outlineLevel="0" collapsed="false">
      <c r="A44" s="13" t="s">
        <v>466</v>
      </c>
      <c r="B44" s="9" t="n">
        <v>0</v>
      </c>
      <c r="C44" s="9" t="n">
        <v>0.1</v>
      </c>
      <c r="D44" s="9" t="n">
        <v>4.61</v>
      </c>
      <c r="E44" s="9" t="n">
        <v>46.34</v>
      </c>
      <c r="F44" s="9" t="n">
        <v>0</v>
      </c>
      <c r="G44" s="9" t="n">
        <v>0</v>
      </c>
      <c r="H44" s="9" t="n">
        <v>0</v>
      </c>
      <c r="I44" s="9" t="n">
        <v>0</v>
      </c>
      <c r="J44" s="11" t="n">
        <f aca="false">IF(SUM($B44:$I44)=0,0,B44/SUM($B44:$I44))</f>
        <v>0</v>
      </c>
      <c r="K44" s="11" t="n">
        <f aca="false">IF(SUM($B44:$I44)=0,0,C44/SUM($B44:$I44))</f>
        <v>0.0019588638589618</v>
      </c>
      <c r="L44" s="11" t="n">
        <f aca="false">IF(SUM($B44:$I44)=0,0,D44/SUM($B44:$I44))</f>
        <v>0.0903036238981391</v>
      </c>
      <c r="M44" s="11" t="n">
        <f aca="false">IF(SUM($B44:$I44)=0,0,E44/SUM($B44:$I44))</f>
        <v>0.907737512242899</v>
      </c>
      <c r="N44" s="11" t="n">
        <f aca="false">IF(SUM($B44:$I44)=0,0,F44/SUM($B44:$I44))</f>
        <v>0</v>
      </c>
      <c r="O44" s="11" t="n">
        <f aca="false">IF(SUM($B44:$I44)=0,0,G44/SUM($B44:$I44))</f>
        <v>0</v>
      </c>
      <c r="P44" s="11" t="n">
        <f aca="false">IF(SUM($B44:$I44)=0,0,H44/SUM($B44:$I44))</f>
        <v>0</v>
      </c>
      <c r="Q44" s="11" t="n">
        <f aca="false">IF(SUM($B44:$I44)=0,0,I44/SUM($B44:$I44))</f>
        <v>0</v>
      </c>
    </row>
    <row r="45" customFormat="false" ht="15" hidden="false" customHeight="false" outlineLevel="0" collapsed="false">
      <c r="A45" s="13" t="s">
        <v>467</v>
      </c>
      <c r="B45" s="9" t="n">
        <v>0</v>
      </c>
      <c r="C45" s="9" t="n">
        <v>0</v>
      </c>
      <c r="D45" s="9" t="n">
        <v>0.1</v>
      </c>
      <c r="E45" s="9" t="n">
        <v>4.61</v>
      </c>
      <c r="F45" s="9" t="n">
        <v>0</v>
      </c>
      <c r="G45" s="9" t="n">
        <v>0</v>
      </c>
      <c r="H45" s="9" t="n">
        <v>0</v>
      </c>
      <c r="I45" s="9" t="n">
        <v>0</v>
      </c>
      <c r="J45" s="11" t="n">
        <f aca="false">IF(SUM($B45:$I45)=0,0,B45/SUM($B45:$I45))</f>
        <v>0</v>
      </c>
      <c r="K45" s="11" t="n">
        <f aca="false">IF(SUM($B45:$I45)=0,0,C45/SUM($B45:$I45))</f>
        <v>0</v>
      </c>
      <c r="L45" s="11" t="n">
        <f aca="false">IF(SUM($B45:$I45)=0,0,D45/SUM($B45:$I45))</f>
        <v>0.0212314225053079</v>
      </c>
      <c r="M45" s="11" t="n">
        <f aca="false">IF(SUM($B45:$I45)=0,0,E45/SUM($B45:$I45))</f>
        <v>0.978768577494692</v>
      </c>
      <c r="N45" s="11" t="n">
        <f aca="false">IF(SUM($B45:$I45)=0,0,F45/SUM($B45:$I45))</f>
        <v>0</v>
      </c>
      <c r="O45" s="11" t="n">
        <f aca="false">IF(SUM($B45:$I45)=0,0,G45/SUM($B45:$I45))</f>
        <v>0</v>
      </c>
      <c r="P45" s="11" t="n">
        <f aca="false">IF(SUM($B45:$I45)=0,0,H45/SUM($B45:$I45))</f>
        <v>0</v>
      </c>
      <c r="Q45" s="11" t="n">
        <f aca="false">IF(SUM($B45:$I45)=0,0,I45/SUM($B45:$I45))</f>
        <v>0</v>
      </c>
    </row>
    <row r="46" customFormat="false" ht="15" hidden="false" customHeight="false" outlineLevel="0" collapsed="false">
      <c r="A46" s="13" t="s">
        <v>468</v>
      </c>
      <c r="B46" s="9" t="n">
        <v>0</v>
      </c>
      <c r="C46" s="9" t="n">
        <v>0</v>
      </c>
      <c r="D46" s="9" t="n">
        <v>0</v>
      </c>
      <c r="E46" s="9" t="n">
        <v>0.1</v>
      </c>
      <c r="F46" s="9" t="n">
        <v>0</v>
      </c>
      <c r="G46" s="9" t="n">
        <v>0</v>
      </c>
      <c r="H46" s="9" t="n">
        <v>0</v>
      </c>
      <c r="I46" s="9" t="n">
        <v>0</v>
      </c>
      <c r="J46" s="11" t="n">
        <f aca="false">IF(SUM($B46:$I46)=0,0,B46/SUM($B46:$I46))</f>
        <v>0</v>
      </c>
      <c r="K46" s="11" t="n">
        <f aca="false">IF(SUM($B46:$I46)=0,0,C46/SUM($B46:$I46))</f>
        <v>0</v>
      </c>
      <c r="L46" s="11" t="n">
        <f aca="false">IF(SUM($B46:$I46)=0,0,D46/SUM($B46:$I46))</f>
        <v>0</v>
      </c>
      <c r="M46" s="11" t="n">
        <f aca="false">IF(SUM($B46:$I46)=0,0,E46/SUM($B46:$I46))</f>
        <v>1</v>
      </c>
      <c r="N46" s="11" t="n">
        <f aca="false">IF(SUM($B46:$I46)=0,0,F46/SUM($B46:$I46))</f>
        <v>0</v>
      </c>
      <c r="O46" s="11" t="n">
        <f aca="false">IF(SUM($B46:$I46)=0,0,G46/SUM($B46:$I46))</f>
        <v>0</v>
      </c>
      <c r="P46" s="11" t="n">
        <f aca="false">IF(SUM($B46:$I46)=0,0,H46/SUM($B46:$I46))</f>
        <v>0</v>
      </c>
      <c r="Q46" s="11" t="n">
        <f aca="false">IF(SUM($B46:$I46)=0,0,I46/SUM($B46:$I46))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9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34"/>
    <col collapsed="false" customWidth="true" hidden="false" outlineLevel="0" max="15" min="8" style="0" width="8"/>
  </cols>
  <sheetData>
    <row r="1" customFormat="false" ht="17.35" hidden="false" customHeight="false" outlineLevel="0" collapsed="false">
      <c r="A1" s="1" t="s">
        <v>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6" t="s">
        <v>473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16" t="s">
        <v>474</v>
      </c>
      <c r="B3" s="12" t="s">
        <v>475</v>
      </c>
      <c r="C3" s="10" t="n">
        <v>25</v>
      </c>
      <c r="D3" s="13" t="s">
        <v>476</v>
      </c>
      <c r="E3" s="10" t="n">
        <v>35</v>
      </c>
      <c r="F3" s="13" t="s">
        <v>477</v>
      </c>
      <c r="G3" s="10" t="n">
        <v>25</v>
      </c>
      <c r="H3" s="13" t="s">
        <v>478</v>
      </c>
      <c r="I3" s="10" t="n">
        <v>15</v>
      </c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35" t="s">
        <v>479</v>
      </c>
      <c r="H4" s="9" t="n">
        <v>1</v>
      </c>
      <c r="I4" s="9" t="n">
        <v>1.15</v>
      </c>
      <c r="J4" s="9" t="n">
        <v>1.3</v>
      </c>
      <c r="K4" s="9" t="n">
        <v>1.5</v>
      </c>
      <c r="L4" s="9" t="n">
        <v>1.75</v>
      </c>
      <c r="M4" s="9" t="n">
        <v>2</v>
      </c>
      <c r="N4" s="9" t="n">
        <v>2.3</v>
      </c>
      <c r="O4" s="9" t="n">
        <v>2.6</v>
      </c>
    </row>
    <row r="5" customFormat="false" ht="28.35" hidden="false" customHeight="false" outlineLevel="0" collapsed="false">
      <c r="A5" s="7" t="s">
        <v>68</v>
      </c>
      <c r="B5" s="7" t="s">
        <v>29</v>
      </c>
      <c r="C5" s="7" t="s">
        <v>480</v>
      </c>
      <c r="D5" s="7" t="s">
        <v>481</v>
      </c>
      <c r="E5" s="7" t="s">
        <v>357</v>
      </c>
      <c r="F5" s="15" t="s">
        <v>482</v>
      </c>
      <c r="G5" s="7" t="s">
        <v>483</v>
      </c>
      <c r="H5" s="15" t="s">
        <v>43</v>
      </c>
      <c r="I5" s="15" t="s">
        <v>44</v>
      </c>
      <c r="J5" s="15" t="s">
        <v>45</v>
      </c>
      <c r="K5" s="15" t="s">
        <v>46</v>
      </c>
      <c r="L5" s="15" t="s">
        <v>47</v>
      </c>
      <c r="M5" s="15" t="s">
        <v>48</v>
      </c>
      <c r="N5" s="15" t="s">
        <v>49</v>
      </c>
      <c r="O5" s="15" t="s">
        <v>51</v>
      </c>
    </row>
    <row r="6" customFormat="false" ht="15" hidden="false" customHeight="false" outlineLevel="0" collapsed="false">
      <c r="A6" s="13" t="s">
        <v>484</v>
      </c>
      <c r="B6" s="16" t="s">
        <v>485</v>
      </c>
      <c r="C6" s="13" t="s">
        <v>43</v>
      </c>
      <c r="D6" s="12" t="s">
        <v>486</v>
      </c>
      <c r="E6" s="12" t="s">
        <v>487</v>
      </c>
      <c r="F6" s="31" t="n">
        <v>0.03</v>
      </c>
      <c r="G6" s="12"/>
      <c r="H6" s="36" t="n">
        <f aca="false">$F6*H$4</f>
        <v>0.03</v>
      </c>
      <c r="I6" s="36" t="n">
        <f aca="false">$F6*I$4</f>
        <v>0.0345</v>
      </c>
      <c r="J6" s="36" t="n">
        <f aca="false">$F6*J$4</f>
        <v>0.039</v>
      </c>
      <c r="K6" s="36" t="n">
        <f aca="false">$F6*K$4</f>
        <v>0.045</v>
      </c>
      <c r="L6" s="36" t="n">
        <f aca="false">$F6*L$4</f>
        <v>0.0525</v>
      </c>
      <c r="M6" s="36" t="n">
        <f aca="false">$F6*M$4</f>
        <v>0.06</v>
      </c>
      <c r="N6" s="36" t="n">
        <f aca="false">$F6*N$4</f>
        <v>0.069</v>
      </c>
      <c r="O6" s="36" t="n">
        <f aca="false">$F6*O$4</f>
        <v>0.078</v>
      </c>
    </row>
    <row r="7" customFormat="false" ht="15" hidden="false" customHeight="false" outlineLevel="0" collapsed="false">
      <c r="A7" s="13" t="s">
        <v>488</v>
      </c>
      <c r="B7" s="16" t="s">
        <v>489</v>
      </c>
      <c r="C7" s="13" t="s">
        <v>43</v>
      </c>
      <c r="D7" s="12" t="s">
        <v>486</v>
      </c>
      <c r="E7" s="12" t="s">
        <v>490</v>
      </c>
      <c r="F7" s="31" t="n">
        <v>0.02</v>
      </c>
      <c r="G7" s="12"/>
      <c r="H7" s="36" t="n">
        <f aca="false">$F7*H$4</f>
        <v>0.02</v>
      </c>
      <c r="I7" s="36" t="n">
        <f aca="false">$F7*I$4</f>
        <v>0.023</v>
      </c>
      <c r="J7" s="36" t="n">
        <f aca="false">$F7*J$4</f>
        <v>0.026</v>
      </c>
      <c r="K7" s="36" t="n">
        <f aca="false">$F7*K$4</f>
        <v>0.03</v>
      </c>
      <c r="L7" s="36" t="n">
        <f aca="false">$F7*L$4</f>
        <v>0.035</v>
      </c>
      <c r="M7" s="36" t="n">
        <f aca="false">$F7*M$4</f>
        <v>0.04</v>
      </c>
      <c r="N7" s="36" t="n">
        <f aca="false">$F7*N$4</f>
        <v>0.046</v>
      </c>
      <c r="O7" s="36" t="n">
        <f aca="false">$F7*O$4</f>
        <v>0.052</v>
      </c>
    </row>
    <row r="8" customFormat="false" ht="15" hidden="false" customHeight="false" outlineLevel="0" collapsed="false">
      <c r="A8" s="13" t="s">
        <v>491</v>
      </c>
      <c r="B8" s="16" t="s">
        <v>492</v>
      </c>
      <c r="C8" s="13" t="s">
        <v>43</v>
      </c>
      <c r="D8" s="12" t="s">
        <v>486</v>
      </c>
      <c r="E8" s="12" t="s">
        <v>493</v>
      </c>
      <c r="F8" s="31" t="n">
        <v>0.06</v>
      </c>
      <c r="G8" s="12"/>
      <c r="H8" s="36" t="n">
        <f aca="false">$F8*H$4</f>
        <v>0.06</v>
      </c>
      <c r="I8" s="36" t="n">
        <f aca="false">$F8*I$4</f>
        <v>0.069</v>
      </c>
      <c r="J8" s="36" t="n">
        <f aca="false">$F8*J$4</f>
        <v>0.078</v>
      </c>
      <c r="K8" s="36" t="n">
        <f aca="false">$F8*K$4</f>
        <v>0.09</v>
      </c>
      <c r="L8" s="36" t="n">
        <f aca="false">$F8*L$4</f>
        <v>0.105</v>
      </c>
      <c r="M8" s="36" t="n">
        <f aca="false">$F8*M$4</f>
        <v>0.12</v>
      </c>
      <c r="N8" s="36" t="n">
        <f aca="false">$F8*N$4</f>
        <v>0.138</v>
      </c>
      <c r="O8" s="36" t="n">
        <f aca="false">$F8*O$4</f>
        <v>0.156</v>
      </c>
    </row>
    <row r="9" customFormat="false" ht="15" hidden="false" customHeight="false" outlineLevel="0" collapsed="false">
      <c r="A9" s="13" t="s">
        <v>494</v>
      </c>
      <c r="B9" s="16" t="s">
        <v>495</v>
      </c>
      <c r="C9" s="13" t="s">
        <v>44</v>
      </c>
      <c r="D9" s="12" t="s">
        <v>486</v>
      </c>
      <c r="E9" s="12" t="s">
        <v>496</v>
      </c>
      <c r="F9" s="31" t="n">
        <v>0.025</v>
      </c>
      <c r="G9" s="12"/>
      <c r="H9" s="13" t="s">
        <v>78</v>
      </c>
      <c r="I9" s="36" t="n">
        <f aca="false">$F9*I$4</f>
        <v>0.02875</v>
      </c>
      <c r="J9" s="36" t="n">
        <f aca="false">$F9*J$4</f>
        <v>0.0325</v>
      </c>
      <c r="K9" s="36" t="n">
        <f aca="false">$F9*K$4</f>
        <v>0.0375</v>
      </c>
      <c r="L9" s="36" t="n">
        <f aca="false">$F9*L$4</f>
        <v>0.04375</v>
      </c>
      <c r="M9" s="36" t="n">
        <f aca="false">$F9*M$4</f>
        <v>0.05</v>
      </c>
      <c r="N9" s="36" t="n">
        <f aca="false">$F9*N$4</f>
        <v>0.0575</v>
      </c>
      <c r="O9" s="36" t="n">
        <f aca="false">$F9*O$4</f>
        <v>0.065</v>
      </c>
    </row>
    <row r="10" customFormat="false" ht="15" hidden="false" customHeight="false" outlineLevel="0" collapsed="false">
      <c r="A10" s="13" t="s">
        <v>497</v>
      </c>
      <c r="B10" s="16" t="s">
        <v>498</v>
      </c>
      <c r="C10" s="13" t="s">
        <v>44</v>
      </c>
      <c r="D10" s="12" t="s">
        <v>486</v>
      </c>
      <c r="E10" s="12" t="s">
        <v>499</v>
      </c>
      <c r="F10" s="31" t="n">
        <v>0.02</v>
      </c>
      <c r="G10" s="12"/>
      <c r="H10" s="13" t="s">
        <v>78</v>
      </c>
      <c r="I10" s="36" t="n">
        <f aca="false">$F10*I$4</f>
        <v>0.023</v>
      </c>
      <c r="J10" s="36" t="n">
        <f aca="false">$F10*J$4</f>
        <v>0.026</v>
      </c>
      <c r="K10" s="36" t="n">
        <f aca="false">$F10*K$4</f>
        <v>0.03</v>
      </c>
      <c r="L10" s="36" t="n">
        <f aca="false">$F10*L$4</f>
        <v>0.035</v>
      </c>
      <c r="M10" s="36" t="n">
        <f aca="false">$F10*M$4</f>
        <v>0.04</v>
      </c>
      <c r="N10" s="36" t="n">
        <f aca="false">$F10*N$4</f>
        <v>0.046</v>
      </c>
      <c r="O10" s="36" t="n">
        <f aca="false">$F10*O$4</f>
        <v>0.052</v>
      </c>
    </row>
    <row r="11" customFormat="false" ht="15" hidden="false" customHeight="false" outlineLevel="0" collapsed="false">
      <c r="A11" s="13" t="s">
        <v>500</v>
      </c>
      <c r="B11" s="16" t="s">
        <v>501</v>
      </c>
      <c r="C11" s="13" t="s">
        <v>45</v>
      </c>
      <c r="D11" s="12" t="s">
        <v>486</v>
      </c>
      <c r="E11" s="12" t="s">
        <v>502</v>
      </c>
      <c r="F11" s="31" t="n">
        <v>0.06</v>
      </c>
      <c r="G11" s="12"/>
      <c r="H11" s="13" t="s">
        <v>78</v>
      </c>
      <c r="I11" s="13" t="s">
        <v>78</v>
      </c>
      <c r="J11" s="36" t="n">
        <f aca="false">$F11*J$4</f>
        <v>0.078</v>
      </c>
      <c r="K11" s="36" t="n">
        <f aca="false">$F11*K$4</f>
        <v>0.09</v>
      </c>
      <c r="L11" s="36" t="n">
        <f aca="false">$F11*L$4</f>
        <v>0.105</v>
      </c>
      <c r="M11" s="36" t="n">
        <f aca="false">$F11*M$4</f>
        <v>0.12</v>
      </c>
      <c r="N11" s="36" t="n">
        <f aca="false">$F11*N$4</f>
        <v>0.138</v>
      </c>
      <c r="O11" s="36" t="n">
        <f aca="false">$F11*O$4</f>
        <v>0.156</v>
      </c>
    </row>
    <row r="12" customFormat="false" ht="15" hidden="false" customHeight="false" outlineLevel="0" collapsed="false">
      <c r="A12" s="13" t="s">
        <v>503</v>
      </c>
      <c r="B12" s="16" t="s">
        <v>504</v>
      </c>
      <c r="C12" s="13" t="s">
        <v>45</v>
      </c>
      <c r="D12" s="12" t="s">
        <v>486</v>
      </c>
      <c r="E12" s="12" t="s">
        <v>505</v>
      </c>
      <c r="F12" s="31" t="n">
        <v>0.025</v>
      </c>
      <c r="G12" s="12"/>
      <c r="H12" s="13" t="s">
        <v>78</v>
      </c>
      <c r="I12" s="13" t="s">
        <v>78</v>
      </c>
      <c r="J12" s="36" t="n">
        <f aca="false">$F12*J$4</f>
        <v>0.0325</v>
      </c>
      <c r="K12" s="36" t="n">
        <f aca="false">$F12*K$4</f>
        <v>0.0375</v>
      </c>
      <c r="L12" s="36" t="n">
        <f aca="false">$F12*L$4</f>
        <v>0.04375</v>
      </c>
      <c r="M12" s="36" t="n">
        <f aca="false">$F12*M$4</f>
        <v>0.05</v>
      </c>
      <c r="N12" s="36" t="n">
        <f aca="false">$F12*N$4</f>
        <v>0.0575</v>
      </c>
      <c r="O12" s="36" t="n">
        <f aca="false">$F12*O$4</f>
        <v>0.065</v>
      </c>
    </row>
    <row r="13" customFormat="false" ht="15" hidden="false" customHeight="false" outlineLevel="0" collapsed="false">
      <c r="A13" s="13" t="s">
        <v>506</v>
      </c>
      <c r="B13" s="16" t="s">
        <v>507</v>
      </c>
      <c r="C13" s="13" t="s">
        <v>45</v>
      </c>
      <c r="D13" s="12" t="s">
        <v>486</v>
      </c>
      <c r="E13" s="12" t="s">
        <v>508</v>
      </c>
      <c r="F13" s="31" t="n">
        <v>0.06</v>
      </c>
      <c r="G13" s="12"/>
      <c r="H13" s="13" t="s">
        <v>78</v>
      </c>
      <c r="I13" s="13" t="s">
        <v>78</v>
      </c>
      <c r="J13" s="36" t="n">
        <f aca="false">$F13*J$4</f>
        <v>0.078</v>
      </c>
      <c r="K13" s="36" t="n">
        <f aca="false">$F13*K$4</f>
        <v>0.09</v>
      </c>
      <c r="L13" s="36" t="n">
        <f aca="false">$F13*L$4</f>
        <v>0.105</v>
      </c>
      <c r="M13" s="36" t="n">
        <f aca="false">$F13*M$4</f>
        <v>0.12</v>
      </c>
      <c r="N13" s="36" t="n">
        <f aca="false">$F13*N$4</f>
        <v>0.138</v>
      </c>
      <c r="O13" s="36" t="n">
        <f aca="false">$F13*O$4</f>
        <v>0.156</v>
      </c>
    </row>
    <row r="14" customFormat="false" ht="15" hidden="false" customHeight="false" outlineLevel="0" collapsed="false">
      <c r="A14" s="13" t="s">
        <v>509</v>
      </c>
      <c r="B14" s="16" t="s">
        <v>510</v>
      </c>
      <c r="C14" s="13" t="s">
        <v>46</v>
      </c>
      <c r="D14" s="12" t="s">
        <v>511</v>
      </c>
      <c r="E14" s="12" t="s">
        <v>221</v>
      </c>
      <c r="F14" s="31" t="n">
        <v>8</v>
      </c>
      <c r="G14" s="12"/>
      <c r="H14" s="13" t="s">
        <v>78</v>
      </c>
      <c r="I14" s="13" t="s">
        <v>78</v>
      </c>
      <c r="J14" s="13" t="s">
        <v>78</v>
      </c>
      <c r="K14" s="36" t="n">
        <f aca="false">$F14*K$4</f>
        <v>12</v>
      </c>
      <c r="L14" s="36" t="n">
        <f aca="false">$F14*L$4</f>
        <v>14</v>
      </c>
      <c r="M14" s="36" t="n">
        <f aca="false">$F14*M$4</f>
        <v>16</v>
      </c>
      <c r="N14" s="36" t="n">
        <f aca="false">$F14*N$4</f>
        <v>18.4</v>
      </c>
      <c r="O14" s="36" t="n">
        <f aca="false">$F14*O$4</f>
        <v>20.8</v>
      </c>
    </row>
    <row r="15" customFormat="false" ht="15" hidden="false" customHeight="false" outlineLevel="0" collapsed="false">
      <c r="A15" s="13" t="s">
        <v>512</v>
      </c>
      <c r="B15" s="16" t="s">
        <v>513</v>
      </c>
      <c r="C15" s="13" t="s">
        <v>46</v>
      </c>
      <c r="D15" s="12" t="s">
        <v>511</v>
      </c>
      <c r="E15" s="12" t="s">
        <v>514</v>
      </c>
      <c r="F15" s="31" t="n">
        <v>10</v>
      </c>
      <c r="G15" s="12"/>
      <c r="H15" s="13" t="s">
        <v>78</v>
      </c>
      <c r="I15" s="13" t="s">
        <v>78</v>
      </c>
      <c r="J15" s="13" t="s">
        <v>78</v>
      </c>
      <c r="K15" s="36" t="n">
        <f aca="false">$F15*K$4</f>
        <v>15</v>
      </c>
      <c r="L15" s="36" t="n">
        <f aca="false">$F15*L$4</f>
        <v>17.5</v>
      </c>
      <c r="M15" s="36" t="n">
        <f aca="false">$F15*M$4</f>
        <v>20</v>
      </c>
      <c r="N15" s="36" t="n">
        <f aca="false">$F15*N$4</f>
        <v>23</v>
      </c>
      <c r="O15" s="36" t="n">
        <f aca="false">$F15*O$4</f>
        <v>26</v>
      </c>
    </row>
    <row r="16" customFormat="false" ht="15" hidden="false" customHeight="false" outlineLevel="0" collapsed="false">
      <c r="A16" s="13" t="s">
        <v>515</v>
      </c>
      <c r="B16" s="16" t="s">
        <v>516</v>
      </c>
      <c r="C16" s="13" t="s">
        <v>47</v>
      </c>
      <c r="D16" s="12" t="s">
        <v>511</v>
      </c>
      <c r="E16" s="13" t="s">
        <v>517</v>
      </c>
      <c r="F16" s="31" t="n">
        <v>1</v>
      </c>
      <c r="G16" s="12"/>
      <c r="H16" s="13" t="s">
        <v>78</v>
      </c>
      <c r="I16" s="13" t="s">
        <v>78</v>
      </c>
      <c r="J16" s="13" t="s">
        <v>78</v>
      </c>
      <c r="K16" s="13" t="s">
        <v>78</v>
      </c>
      <c r="L16" s="36" t="n">
        <f aca="false">$F16*L$4</f>
        <v>1.75</v>
      </c>
      <c r="M16" s="36" t="n">
        <f aca="false">$F16*M$4</f>
        <v>2</v>
      </c>
      <c r="N16" s="36" t="n">
        <f aca="false">$F16*N$4</f>
        <v>2.3</v>
      </c>
      <c r="O16" s="36" t="n">
        <f aca="false">$F16*O$4</f>
        <v>2.6</v>
      </c>
    </row>
    <row r="17" customFormat="false" ht="15" hidden="false" customHeight="false" outlineLevel="0" collapsed="false">
      <c r="A17" s="13" t="s">
        <v>518</v>
      </c>
      <c r="B17" s="16" t="s">
        <v>519</v>
      </c>
      <c r="C17" s="13" t="s">
        <v>47</v>
      </c>
      <c r="D17" s="12" t="s">
        <v>511</v>
      </c>
      <c r="E17" s="12" t="s">
        <v>520</v>
      </c>
      <c r="F17" s="31" t="n">
        <v>0.2</v>
      </c>
      <c r="G17" s="12"/>
      <c r="H17" s="13" t="s">
        <v>78</v>
      </c>
      <c r="I17" s="13" t="s">
        <v>78</v>
      </c>
      <c r="J17" s="13" t="s">
        <v>78</v>
      </c>
      <c r="K17" s="13" t="s">
        <v>78</v>
      </c>
      <c r="L17" s="36" t="n">
        <f aca="false">$F17*L$4</f>
        <v>0.35</v>
      </c>
      <c r="M17" s="36" t="n">
        <f aca="false">$F17*M$4</f>
        <v>0.4</v>
      </c>
      <c r="N17" s="36" t="n">
        <f aca="false">$F17*N$4</f>
        <v>0.46</v>
      </c>
      <c r="O17" s="36" t="n">
        <f aca="false">$F17*O$4</f>
        <v>0.52</v>
      </c>
    </row>
    <row r="18" customFormat="false" ht="15" hidden="false" customHeight="false" outlineLevel="0" collapsed="false">
      <c r="A18" s="13" t="s">
        <v>521</v>
      </c>
      <c r="B18" s="16" t="s">
        <v>522</v>
      </c>
      <c r="C18" s="13" t="s">
        <v>48</v>
      </c>
      <c r="D18" s="12" t="s">
        <v>523</v>
      </c>
      <c r="E18" s="12" t="s">
        <v>502</v>
      </c>
      <c r="F18" s="31" t="n">
        <v>0.08</v>
      </c>
      <c r="G18" s="12" t="s">
        <v>524</v>
      </c>
      <c r="H18" s="13" t="s">
        <v>78</v>
      </c>
      <c r="I18" s="13" t="s">
        <v>78</v>
      </c>
      <c r="J18" s="13" t="s">
        <v>78</v>
      </c>
      <c r="K18" s="13" t="s">
        <v>78</v>
      </c>
      <c r="L18" s="13" t="s">
        <v>78</v>
      </c>
      <c r="M18" s="36" t="n">
        <f aca="false">$F18*M$4</f>
        <v>0.16</v>
      </c>
      <c r="N18" s="36" t="n">
        <f aca="false">$F18*N$4</f>
        <v>0.184</v>
      </c>
      <c r="O18" s="36" t="n">
        <f aca="false">$F18*O$4</f>
        <v>0.208</v>
      </c>
    </row>
    <row r="19" customFormat="false" ht="15" hidden="false" customHeight="false" outlineLevel="0" collapsed="false">
      <c r="A19" s="13" t="s">
        <v>525</v>
      </c>
      <c r="B19" s="16" t="s">
        <v>526</v>
      </c>
      <c r="C19" s="13" t="s">
        <v>48</v>
      </c>
      <c r="D19" s="12" t="s">
        <v>523</v>
      </c>
      <c r="E19" s="12" t="s">
        <v>490</v>
      </c>
      <c r="F19" s="31" t="n">
        <v>0.06</v>
      </c>
      <c r="G19" s="12" t="s">
        <v>527</v>
      </c>
      <c r="H19" s="13" t="s">
        <v>78</v>
      </c>
      <c r="I19" s="13" t="s">
        <v>78</v>
      </c>
      <c r="J19" s="13" t="s">
        <v>78</v>
      </c>
      <c r="K19" s="13" t="s">
        <v>78</v>
      </c>
      <c r="L19" s="13" t="s">
        <v>78</v>
      </c>
      <c r="M19" s="36" t="n">
        <f aca="false">$F19*M$4</f>
        <v>0.12</v>
      </c>
      <c r="N19" s="36" t="n">
        <f aca="false">$F19*N$4</f>
        <v>0.138</v>
      </c>
      <c r="O19" s="36" t="n">
        <f aca="false">$F19*O$4</f>
        <v>0.156</v>
      </c>
    </row>
    <row r="20" customFormat="false" ht="15" hidden="false" customHeight="false" outlineLevel="0" collapsed="false">
      <c r="A20" s="13" t="s">
        <v>528</v>
      </c>
      <c r="B20" s="16" t="s">
        <v>529</v>
      </c>
      <c r="C20" s="13" t="s">
        <v>49</v>
      </c>
      <c r="D20" s="12" t="s">
        <v>523</v>
      </c>
      <c r="E20" s="12" t="s">
        <v>508</v>
      </c>
      <c r="F20" s="31" t="n">
        <v>0.16</v>
      </c>
      <c r="G20" s="12" t="s">
        <v>530</v>
      </c>
      <c r="H20" s="13" t="s">
        <v>78</v>
      </c>
      <c r="I20" s="13" t="s">
        <v>78</v>
      </c>
      <c r="J20" s="13" t="s">
        <v>78</v>
      </c>
      <c r="K20" s="13" t="s">
        <v>78</v>
      </c>
      <c r="L20" s="13" t="s">
        <v>78</v>
      </c>
      <c r="M20" s="13" t="s">
        <v>78</v>
      </c>
      <c r="N20" s="36" t="n">
        <f aca="false">$F20*N$4</f>
        <v>0.368</v>
      </c>
      <c r="O20" s="36" t="n">
        <f aca="false">$F20*O$4</f>
        <v>0.416</v>
      </c>
    </row>
    <row r="21" customFormat="false" ht="15" hidden="false" customHeight="false" outlineLevel="0" collapsed="false">
      <c r="A21" s="13" t="s">
        <v>531</v>
      </c>
      <c r="B21" s="16" t="s">
        <v>532</v>
      </c>
      <c r="C21" s="13" t="s">
        <v>51</v>
      </c>
      <c r="D21" s="12" t="s">
        <v>523</v>
      </c>
      <c r="E21" s="12" t="s">
        <v>533</v>
      </c>
      <c r="F21" s="31" t="n">
        <v>0.13</v>
      </c>
      <c r="G21" s="12" t="s">
        <v>534</v>
      </c>
      <c r="H21" s="13" t="s">
        <v>78</v>
      </c>
      <c r="I21" s="13" t="s">
        <v>78</v>
      </c>
      <c r="J21" s="13" t="s">
        <v>78</v>
      </c>
      <c r="K21" s="13" t="s">
        <v>78</v>
      </c>
      <c r="L21" s="13" t="s">
        <v>78</v>
      </c>
      <c r="M21" s="13" t="s">
        <v>78</v>
      </c>
      <c r="N21" s="13" t="s">
        <v>78</v>
      </c>
      <c r="O21" s="36" t="n">
        <f aca="false">$F21*O$4</f>
        <v>0.338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535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6" t="s">
        <v>536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6" t="s">
        <v>537</v>
      </c>
      <c r="B3" s="37" t="n">
        <v>0.06</v>
      </c>
      <c r="C3" s="16" t="s">
        <v>538</v>
      </c>
      <c r="D3" s="14" t="n">
        <v>0.1</v>
      </c>
      <c r="E3" s="16" t="s">
        <v>539</v>
      </c>
      <c r="F3" s="31" t="n">
        <v>0.465</v>
      </c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8.35" hidden="false" customHeight="false" outlineLevel="0" collapsed="false">
      <c r="A5" s="7" t="s">
        <v>540</v>
      </c>
      <c r="B5" s="7" t="s">
        <v>541</v>
      </c>
      <c r="C5" s="7" t="s">
        <v>542</v>
      </c>
      <c r="D5" s="7" t="s">
        <v>543</v>
      </c>
      <c r="E5" s="7" t="s">
        <v>544</v>
      </c>
      <c r="F5" s="7" t="s">
        <v>545</v>
      </c>
      <c r="G5" s="7" t="s">
        <v>546</v>
      </c>
      <c r="H5" s="7" t="s">
        <v>547</v>
      </c>
    </row>
    <row r="6" customFormat="false" ht="15" hidden="false" customHeight="false" outlineLevel="0" collapsed="false">
      <c r="A6" s="13" t="s">
        <v>548</v>
      </c>
      <c r="B6" s="14" t="n">
        <v>1</v>
      </c>
      <c r="C6" s="38" t="n">
        <f aca="false">MIN(1,B6*2)</f>
        <v>1</v>
      </c>
      <c r="D6" s="10" t="n">
        <v>1</v>
      </c>
      <c r="E6" s="10" t="n">
        <v>20</v>
      </c>
      <c r="F6" s="38" t="n">
        <f aca="false">1+$B$3*1</f>
        <v>1.06</v>
      </c>
      <c r="G6" s="27" t="n">
        <f aca="false">IF(B6&gt;=1,0,ROUNDUP(1/(C6*$F$3),0))</f>
        <v>0</v>
      </c>
      <c r="H6" s="12"/>
    </row>
    <row r="7" customFormat="false" ht="15" hidden="false" customHeight="false" outlineLevel="0" collapsed="false">
      <c r="A7" s="13" t="s">
        <v>549</v>
      </c>
      <c r="B7" s="14" t="n">
        <v>1</v>
      </c>
      <c r="C7" s="38" t="n">
        <f aca="false">MIN(1,B7*2)</f>
        <v>1</v>
      </c>
      <c r="D7" s="10" t="n">
        <v>1</v>
      </c>
      <c r="E7" s="10" t="n">
        <v>30</v>
      </c>
      <c r="F7" s="38" t="n">
        <f aca="false">1+$B$3*2</f>
        <v>1.12</v>
      </c>
      <c r="G7" s="27" t="n">
        <f aca="false">IF(B7&gt;=1,0,ROUNDUP(1/(C7*$F$3),0))</f>
        <v>0</v>
      </c>
      <c r="H7" s="12"/>
    </row>
    <row r="8" customFormat="false" ht="15" hidden="false" customHeight="false" outlineLevel="0" collapsed="false">
      <c r="A8" s="13" t="s">
        <v>550</v>
      </c>
      <c r="B8" s="14" t="n">
        <v>0.95</v>
      </c>
      <c r="C8" s="38" t="n">
        <f aca="false">MIN(1,B8*2)</f>
        <v>1</v>
      </c>
      <c r="D8" s="10" t="n">
        <v>2</v>
      </c>
      <c r="E8" s="10" t="n">
        <v>40</v>
      </c>
      <c r="F8" s="38" t="n">
        <f aca="false">1+$B$3*3</f>
        <v>1.18</v>
      </c>
      <c r="G8" s="27" t="n">
        <f aca="false">IF(B8&gt;=1,0,ROUNDUP(1/(C8*$F$3),0))</f>
        <v>3</v>
      </c>
      <c r="H8" s="12"/>
    </row>
    <row r="9" customFormat="false" ht="15" hidden="false" customHeight="false" outlineLevel="0" collapsed="false">
      <c r="A9" s="13" t="s">
        <v>551</v>
      </c>
      <c r="B9" s="14" t="n">
        <v>0.9</v>
      </c>
      <c r="C9" s="38" t="n">
        <f aca="false">MIN(1,B9*2)</f>
        <v>1</v>
      </c>
      <c r="D9" s="10" t="n">
        <v>2</v>
      </c>
      <c r="E9" s="10" t="n">
        <v>55</v>
      </c>
      <c r="F9" s="38" t="n">
        <f aca="false">1+$B$3*4</f>
        <v>1.24</v>
      </c>
      <c r="G9" s="27" t="n">
        <f aca="false">IF(B9&gt;=1,0,ROUNDUP(1/(C9*$F$3),0))</f>
        <v>3</v>
      </c>
      <c r="H9" s="12"/>
    </row>
    <row r="10" customFormat="false" ht="15" hidden="false" customHeight="false" outlineLevel="0" collapsed="false">
      <c r="A10" s="13" t="s">
        <v>552</v>
      </c>
      <c r="B10" s="14" t="n">
        <v>0.85</v>
      </c>
      <c r="C10" s="38" t="n">
        <f aca="false">MIN(1,B10*2)</f>
        <v>1</v>
      </c>
      <c r="D10" s="10" t="n">
        <v>3</v>
      </c>
      <c r="E10" s="10" t="n">
        <v>70</v>
      </c>
      <c r="F10" s="38" t="n">
        <f aca="false">1+$B$3*5</f>
        <v>1.3</v>
      </c>
      <c r="G10" s="27" t="n">
        <f aca="false">IF(B10&gt;=1,0,ROUNDUP(1/(C10*$F$3),0))</f>
        <v>3</v>
      </c>
      <c r="H10" s="12" t="s">
        <v>553</v>
      </c>
    </row>
    <row r="11" customFormat="false" ht="15" hidden="false" customHeight="false" outlineLevel="0" collapsed="false">
      <c r="A11" s="13" t="s">
        <v>554</v>
      </c>
      <c r="B11" s="14" t="n">
        <v>0.75</v>
      </c>
      <c r="C11" s="38" t="n">
        <f aca="false">MIN(1,B11*2)</f>
        <v>1</v>
      </c>
      <c r="D11" s="10" t="n">
        <v>3</v>
      </c>
      <c r="E11" s="10" t="n">
        <v>90</v>
      </c>
      <c r="F11" s="38" t="n">
        <f aca="false">1+$B$3*6</f>
        <v>1.36</v>
      </c>
      <c r="G11" s="27" t="n">
        <f aca="false">IF(B11&gt;=1,0,ROUNDUP(1/(C11*$F$3),0))</f>
        <v>3</v>
      </c>
      <c r="H11" s="12"/>
    </row>
    <row r="12" customFormat="false" ht="15" hidden="false" customHeight="false" outlineLevel="0" collapsed="false">
      <c r="A12" s="13" t="s">
        <v>555</v>
      </c>
      <c r="B12" s="14" t="n">
        <v>0.65</v>
      </c>
      <c r="C12" s="38" t="n">
        <f aca="false">MIN(1,B12*2)</f>
        <v>1</v>
      </c>
      <c r="D12" s="10" t="n">
        <v>4</v>
      </c>
      <c r="E12" s="10" t="n">
        <v>110</v>
      </c>
      <c r="F12" s="38" t="n">
        <f aca="false">1+$B$3*7</f>
        <v>1.42</v>
      </c>
      <c r="G12" s="27" t="n">
        <f aca="false">IF(B12&gt;=1,0,ROUNDUP(1/(C12*$F$3),0))</f>
        <v>3</v>
      </c>
      <c r="H12" s="12"/>
    </row>
    <row r="13" customFormat="false" ht="15" hidden="false" customHeight="false" outlineLevel="0" collapsed="false">
      <c r="A13" s="13" t="s">
        <v>556</v>
      </c>
      <c r="B13" s="14" t="n">
        <v>0.55</v>
      </c>
      <c r="C13" s="38" t="n">
        <f aca="false">MIN(1,B13*2)</f>
        <v>1</v>
      </c>
      <c r="D13" s="10" t="n">
        <v>4</v>
      </c>
      <c r="E13" s="10" t="n">
        <v>135</v>
      </c>
      <c r="F13" s="38" t="n">
        <f aca="false">1+$B$3*8</f>
        <v>1.48</v>
      </c>
      <c r="G13" s="27" t="n">
        <f aca="false">IF(B13&gt;=1,0,ROUNDUP(1/(C13*$F$3),0))</f>
        <v>3</v>
      </c>
      <c r="H13" s="12"/>
    </row>
    <row r="14" customFormat="false" ht="15" hidden="false" customHeight="false" outlineLevel="0" collapsed="false">
      <c r="A14" s="13" t="s">
        <v>557</v>
      </c>
      <c r="B14" s="14" t="n">
        <v>0.45</v>
      </c>
      <c r="C14" s="38" t="n">
        <f aca="false">MIN(1,B14*2)</f>
        <v>0.9</v>
      </c>
      <c r="D14" s="10" t="n">
        <v>5</v>
      </c>
      <c r="E14" s="10" t="n">
        <v>160</v>
      </c>
      <c r="F14" s="38" t="n">
        <f aca="false">1+$B$3*9</f>
        <v>1.54</v>
      </c>
      <c r="G14" s="27" t="n">
        <f aca="false">IF(B14&gt;=1,0,ROUNDUP(1/(C14*$F$3),0))</f>
        <v>3</v>
      </c>
      <c r="H14" s="12"/>
    </row>
    <row r="15" customFormat="false" ht="15" hidden="false" customHeight="false" outlineLevel="0" collapsed="false">
      <c r="A15" s="13" t="s">
        <v>558</v>
      </c>
      <c r="B15" s="14" t="n">
        <v>0.35</v>
      </c>
      <c r="C15" s="38" t="n">
        <f aca="false">MIN(1,B15*2)</f>
        <v>0.7</v>
      </c>
      <c r="D15" s="10" t="n">
        <v>6</v>
      </c>
      <c r="E15" s="10" t="n">
        <v>190</v>
      </c>
      <c r="F15" s="38" t="n">
        <f aca="false">1+$B$3*10</f>
        <v>1.6</v>
      </c>
      <c r="G15" s="27" t="n">
        <f aca="false">IF(B15&gt;=1,0,ROUNDUP(1/(C15*$F$3),0))</f>
        <v>4</v>
      </c>
      <c r="H15" s="12" t="s">
        <v>559</v>
      </c>
    </row>
    <row r="16" customFormat="false" ht="15" hidden="false" customHeight="false" outlineLevel="0" collapsed="false">
      <c r="A16" s="13" t="s">
        <v>560</v>
      </c>
      <c r="B16" s="14" t="n">
        <v>0.25</v>
      </c>
      <c r="C16" s="38" t="n">
        <f aca="false">MIN(1,B16*2)</f>
        <v>0.5</v>
      </c>
      <c r="D16" s="10" t="n">
        <v>7</v>
      </c>
      <c r="E16" s="10" t="n">
        <v>230</v>
      </c>
      <c r="F16" s="38" t="n">
        <f aca="false">1+$B$3*11</f>
        <v>1.66</v>
      </c>
      <c r="G16" s="27" t="n">
        <f aca="false">IF(B16&gt;=1,0,ROUNDUP(1/(C16*$F$3),0))</f>
        <v>5</v>
      </c>
      <c r="H16" s="12"/>
    </row>
    <row r="17" customFormat="false" ht="15" hidden="false" customHeight="false" outlineLevel="0" collapsed="false">
      <c r="A17" s="13" t="s">
        <v>561</v>
      </c>
      <c r="B17" s="14" t="n">
        <v>0.18</v>
      </c>
      <c r="C17" s="38" t="n">
        <f aca="false">MIN(1,B17*2)</f>
        <v>0.36</v>
      </c>
      <c r="D17" s="10" t="n">
        <v>8</v>
      </c>
      <c r="E17" s="10" t="n">
        <v>270</v>
      </c>
      <c r="F17" s="38" t="n">
        <f aca="false">1+$B$3*12</f>
        <v>1.72</v>
      </c>
      <c r="G17" s="27" t="n">
        <f aca="false">IF(B17&gt;=1,0,ROUNDUP(1/(C17*$F$3),0))</f>
        <v>6</v>
      </c>
      <c r="H17" s="12"/>
    </row>
    <row r="18" customFormat="false" ht="15" hidden="false" customHeight="false" outlineLevel="0" collapsed="false">
      <c r="A18" s="13" t="s">
        <v>562</v>
      </c>
      <c r="B18" s="14" t="n">
        <v>0.12</v>
      </c>
      <c r="C18" s="38" t="n">
        <f aca="false">MIN(1,B18*2)</f>
        <v>0.24</v>
      </c>
      <c r="D18" s="10" t="n">
        <v>10</v>
      </c>
      <c r="E18" s="10" t="n">
        <v>320</v>
      </c>
      <c r="F18" s="38" t="n">
        <f aca="false">1+$B$3*13</f>
        <v>1.78</v>
      </c>
      <c r="G18" s="27" t="n">
        <f aca="false">IF(B18&gt;=1,0,ROUNDUP(1/(C18*$F$3),0))</f>
        <v>9</v>
      </c>
      <c r="H18" s="12"/>
    </row>
    <row r="19" customFormat="false" ht="15" hidden="false" customHeight="false" outlineLevel="0" collapsed="false">
      <c r="A19" s="13" t="s">
        <v>563</v>
      </c>
      <c r="B19" s="14" t="n">
        <v>0.08</v>
      </c>
      <c r="C19" s="38" t="n">
        <f aca="false">MIN(1,B19*2)</f>
        <v>0.16</v>
      </c>
      <c r="D19" s="10" t="n">
        <v>12</v>
      </c>
      <c r="E19" s="10" t="n">
        <v>380</v>
      </c>
      <c r="F19" s="38" t="n">
        <f aca="false">1+$B$3*14</f>
        <v>1.84</v>
      </c>
      <c r="G19" s="27" t="n">
        <f aca="false">IF(B19&gt;=1,0,ROUNDUP(1/(C19*$F$3),0))</f>
        <v>14</v>
      </c>
      <c r="H19" s="12"/>
    </row>
    <row r="20" customFormat="false" ht="15" hidden="false" customHeight="false" outlineLevel="0" collapsed="false">
      <c r="A20" s="13" t="s">
        <v>564</v>
      </c>
      <c r="B20" s="14" t="n">
        <v>0.05</v>
      </c>
      <c r="C20" s="38" t="n">
        <f aca="false">MIN(1,B20*2)</f>
        <v>0.1</v>
      </c>
      <c r="D20" s="10" t="n">
        <v>15</v>
      </c>
      <c r="E20" s="10" t="n">
        <v>450</v>
      </c>
      <c r="F20" s="38" t="n">
        <f aca="false">1+$B$3*15</f>
        <v>1.9</v>
      </c>
      <c r="G20" s="27" t="n">
        <f aca="false">IF(B20&gt;=1,0,ROUNDUP(1/(C20*$F$3),0))</f>
        <v>22</v>
      </c>
      <c r="H20" s="12" t="s">
        <v>565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16" t="s">
        <v>566</v>
      </c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8" t="s">
        <v>43</v>
      </c>
      <c r="B23" s="8" t="s">
        <v>44</v>
      </c>
      <c r="C23" s="8" t="s">
        <v>45</v>
      </c>
      <c r="D23" s="8" t="s">
        <v>46</v>
      </c>
      <c r="E23" s="8" t="s">
        <v>47</v>
      </c>
      <c r="F23" s="8" t="s">
        <v>48</v>
      </c>
      <c r="G23" s="8" t="s">
        <v>49</v>
      </c>
      <c r="H23" s="8" t="s">
        <v>51</v>
      </c>
    </row>
    <row r="24" customFormat="false" ht="15" hidden="false" customHeight="false" outlineLevel="0" collapsed="false">
      <c r="A24" s="10" t="n">
        <v>5</v>
      </c>
      <c r="B24" s="10" t="n">
        <v>7</v>
      </c>
      <c r="C24" s="10" t="n">
        <v>9</v>
      </c>
      <c r="D24" s="10" t="n">
        <v>11</v>
      </c>
      <c r="E24" s="10" t="n">
        <v>13</v>
      </c>
      <c r="F24" s="10" t="n">
        <v>15</v>
      </c>
      <c r="G24" s="10" t="n">
        <v>15</v>
      </c>
      <c r="H24" s="10" t="n">
        <v>15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16" t="s">
        <v>567</v>
      </c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8" t="s">
        <v>43</v>
      </c>
      <c r="B27" s="8" t="s">
        <v>44</v>
      </c>
      <c r="C27" s="8" t="s">
        <v>45</v>
      </c>
      <c r="D27" s="8" t="s">
        <v>46</v>
      </c>
      <c r="E27" s="8" t="s">
        <v>47</v>
      </c>
      <c r="F27" s="8" t="s">
        <v>48</v>
      </c>
      <c r="G27" s="8" t="s">
        <v>49</v>
      </c>
      <c r="H27" s="8" t="s">
        <v>51</v>
      </c>
    </row>
    <row r="28" customFormat="false" ht="15" hidden="false" customHeight="false" outlineLevel="0" collapsed="false">
      <c r="A28" s="10" t="n">
        <v>1</v>
      </c>
      <c r="B28" s="10" t="n">
        <v>2</v>
      </c>
      <c r="C28" s="10" t="n">
        <v>3</v>
      </c>
      <c r="D28" s="10" t="n">
        <v>5</v>
      </c>
      <c r="E28" s="10" t="n">
        <v>8</v>
      </c>
      <c r="F28" s="10" t="n">
        <v>12</v>
      </c>
      <c r="G28" s="10" t="n">
        <v>18</v>
      </c>
      <c r="H28" s="10" t="n">
        <v>25</v>
      </c>
    </row>
    <row r="29" customFormat="false" ht="15" hidden="false" customHeight="false" outlineLevel="0" collapsed="false">
      <c r="A29" s="6" t="s">
        <v>568</v>
      </c>
      <c r="B29" s="2"/>
      <c r="C29" s="2"/>
      <c r="D29" s="2"/>
      <c r="E29" s="2"/>
      <c r="F29" s="2"/>
      <c r="G29" s="2"/>
      <c r="H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9" min="2" style="0" width="11"/>
  </cols>
  <sheetData>
    <row r="1" customFormat="false" ht="17.35" hidden="false" customHeight="false" outlineLevel="0" collapsed="false">
      <c r="A1" s="1" t="s">
        <v>569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6" t="s">
        <v>570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16" t="s">
        <v>571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9" t="s">
        <v>127</v>
      </c>
      <c r="B5" s="30" t="s">
        <v>43</v>
      </c>
      <c r="C5" s="30" t="s">
        <v>44</v>
      </c>
      <c r="D5" s="30" t="s">
        <v>45</v>
      </c>
      <c r="E5" s="30" t="s">
        <v>46</v>
      </c>
      <c r="F5" s="30" t="s">
        <v>47</v>
      </c>
      <c r="G5" s="30" t="s">
        <v>48</v>
      </c>
      <c r="H5" s="30" t="s">
        <v>49</v>
      </c>
      <c r="I5" s="30" t="s">
        <v>51</v>
      </c>
      <c r="J5" s="30" t="s">
        <v>572</v>
      </c>
    </row>
    <row r="6" customFormat="false" ht="15" hidden="false" customHeight="false" outlineLevel="0" collapsed="false">
      <c r="A6" s="16" t="s">
        <v>139</v>
      </c>
      <c r="B6" s="17" t="n">
        <v>18.1</v>
      </c>
      <c r="C6" s="17" t="n">
        <v>26</v>
      </c>
      <c r="D6" s="17" t="n">
        <v>38</v>
      </c>
      <c r="E6" s="17" t="n">
        <v>54.9</v>
      </c>
      <c r="F6" s="17" t="n">
        <v>74.9</v>
      </c>
      <c r="G6" s="17" t="n">
        <v>99.7</v>
      </c>
      <c r="H6" s="17" t="n">
        <v>122.4</v>
      </c>
      <c r="I6" s="17" t="n">
        <v>143.7</v>
      </c>
      <c r="J6" s="25" t="n">
        <f aca="false">I6/G6</f>
        <v>1.44132397191575</v>
      </c>
    </row>
    <row r="7" customFormat="false" ht="15" hidden="false" customHeight="false" outlineLevel="0" collapsed="false">
      <c r="A7" s="16" t="s">
        <v>172</v>
      </c>
      <c r="B7" s="17" t="n">
        <v>18.1</v>
      </c>
      <c r="C7" s="17" t="n">
        <v>26</v>
      </c>
      <c r="D7" s="17" t="n">
        <v>38</v>
      </c>
      <c r="E7" s="17" t="n">
        <v>54.9</v>
      </c>
      <c r="F7" s="17" t="n">
        <v>75</v>
      </c>
      <c r="G7" s="17" t="n">
        <v>99.8</v>
      </c>
      <c r="H7" s="17" t="n">
        <v>121.9</v>
      </c>
      <c r="I7" s="17" t="n">
        <v>142.1</v>
      </c>
      <c r="J7" s="25" t="n">
        <f aca="false">I7/G7</f>
        <v>1.42384769539078</v>
      </c>
    </row>
    <row r="8" customFormat="false" ht="15" hidden="false" customHeight="false" outlineLevel="0" collapsed="false">
      <c r="A8" s="16" t="s">
        <v>201</v>
      </c>
      <c r="B8" s="17" t="n">
        <v>17.6</v>
      </c>
      <c r="C8" s="17" t="n">
        <v>25.3</v>
      </c>
      <c r="D8" s="17" t="n">
        <v>37.1</v>
      </c>
      <c r="E8" s="17" t="n">
        <v>53.8</v>
      </c>
      <c r="F8" s="17" t="n">
        <v>73.6</v>
      </c>
      <c r="G8" s="17" t="n">
        <v>98.1</v>
      </c>
      <c r="H8" s="17" t="n">
        <v>119.9</v>
      </c>
      <c r="I8" s="17" t="n">
        <v>139.4</v>
      </c>
      <c r="J8" s="25" t="n">
        <f aca="false">I8/G8</f>
        <v>1.42099898063201</v>
      </c>
    </row>
    <row r="9" customFormat="false" ht="15" hidden="false" customHeight="false" outlineLevel="0" collapsed="false">
      <c r="A9" s="16" t="s">
        <v>229</v>
      </c>
      <c r="B9" s="17" t="n">
        <v>18.2</v>
      </c>
      <c r="C9" s="17" t="n">
        <v>26.1</v>
      </c>
      <c r="D9" s="17" t="n">
        <v>38.2</v>
      </c>
      <c r="E9" s="17" t="n">
        <v>55.1</v>
      </c>
      <c r="F9" s="17" t="n">
        <v>75.1</v>
      </c>
      <c r="G9" s="17" t="n">
        <v>100</v>
      </c>
      <c r="H9" s="17" t="n">
        <v>122.1</v>
      </c>
      <c r="I9" s="17" t="n">
        <v>142.3</v>
      </c>
      <c r="J9" s="25" t="n">
        <f aca="false">I9/G9</f>
        <v>1.423</v>
      </c>
    </row>
    <row r="10" customFormat="false" ht="15" hidden="false" customHeight="false" outlineLevel="0" collapsed="false">
      <c r="A10" s="16" t="s">
        <v>257</v>
      </c>
      <c r="B10" s="17" t="n">
        <v>18.5</v>
      </c>
      <c r="C10" s="17" t="n">
        <v>26.5</v>
      </c>
      <c r="D10" s="17" t="n">
        <v>38.6</v>
      </c>
      <c r="E10" s="17" t="n">
        <v>55.7</v>
      </c>
      <c r="F10" s="17" t="n">
        <v>75.9</v>
      </c>
      <c r="G10" s="17" t="n">
        <v>100.8</v>
      </c>
      <c r="H10" s="17" t="n">
        <v>123.7</v>
      </c>
      <c r="I10" s="17" t="n">
        <v>145</v>
      </c>
      <c r="J10" s="25" t="n">
        <f aca="false">I10/G10</f>
        <v>1.43849206349206</v>
      </c>
    </row>
    <row r="11" customFormat="false" ht="15" hidden="false" customHeight="false" outlineLevel="0" collapsed="false">
      <c r="A11" s="16" t="s">
        <v>573</v>
      </c>
      <c r="B11" s="20" t="n">
        <f aca="false">AVERAGE(B6:B10)</f>
        <v>18.1</v>
      </c>
      <c r="C11" s="20" t="n">
        <f aca="false">AVERAGE(C6:C10)</f>
        <v>25.98</v>
      </c>
      <c r="D11" s="20" t="n">
        <f aca="false">AVERAGE(D6:D10)</f>
        <v>37.98</v>
      </c>
      <c r="E11" s="20" t="n">
        <f aca="false">AVERAGE(E6:E10)</f>
        <v>54.88</v>
      </c>
      <c r="F11" s="20" t="n">
        <f aca="false">AVERAGE(F6:F10)</f>
        <v>74.9</v>
      </c>
      <c r="G11" s="20" t="n">
        <f aca="false">AVERAGE(G6:G10)</f>
        <v>99.68</v>
      </c>
      <c r="H11" s="20" t="n">
        <f aca="false">AVERAGE(H6:H10)</f>
        <v>122</v>
      </c>
      <c r="I11" s="20" t="n">
        <f aca="false">AVERAGE(I6:I10)</f>
        <v>142.5</v>
      </c>
      <c r="J11" s="25" t="n">
        <f aca="false">AVERAGE(J6:J10)</f>
        <v>1.42953254228612</v>
      </c>
    </row>
    <row r="12" customFormat="false" ht="15" hidden="false" customHeight="false" outlineLevel="0" collapsed="false">
      <c r="A12" s="16" t="s">
        <v>574</v>
      </c>
      <c r="B12" s="11" t="n">
        <f aca="false">MAX(B6:B10)/MIN(B6:B10)-1</f>
        <v>0.0511363636363635</v>
      </c>
      <c r="C12" s="11" t="n">
        <f aca="false">MAX(C6:C10)/MIN(C6:C10)-1</f>
        <v>0.0474308300395256</v>
      </c>
      <c r="D12" s="11" t="n">
        <f aca="false">MAX(D6:D10)/MIN(D6:D10)-1</f>
        <v>0.0404312668463611</v>
      </c>
      <c r="E12" s="11" t="n">
        <f aca="false">MAX(E6:E10)/MIN(E6:E10)-1</f>
        <v>0.0353159851301117</v>
      </c>
      <c r="F12" s="11" t="n">
        <f aca="false">MAX(F6:F10)/MIN(F6:F10)-1</f>
        <v>0.0312500000000002</v>
      </c>
      <c r="G12" s="11" t="n">
        <f aca="false">MAX(G6:G10)/MIN(G6:G10)-1</f>
        <v>0.0275229357798166</v>
      </c>
      <c r="H12" s="11" t="n">
        <f aca="false">MAX(H6:H10)/MIN(H6:H10)-1</f>
        <v>0.0316930775646371</v>
      </c>
      <c r="I12" s="11" t="n">
        <f aca="false">MAX(I6:I10)/MIN(I6:I10)-1</f>
        <v>0.0401721664275465</v>
      </c>
      <c r="J12" s="2"/>
    </row>
    <row r="13" customFormat="false" ht="15" hidden="false" customHeight="false" outlineLevel="0" collapsed="false">
      <c r="A13" s="6" t="s">
        <v>575</v>
      </c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false" outlineLevel="0" collapsed="false">
      <c r="A15" s="16" t="s">
        <v>576</v>
      </c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29" t="s">
        <v>577</v>
      </c>
      <c r="B16" s="30" t="s">
        <v>43</v>
      </c>
      <c r="C16" s="30" t="s">
        <v>44</v>
      </c>
      <c r="D16" s="30" t="s">
        <v>45</v>
      </c>
      <c r="E16" s="30" t="s">
        <v>46</v>
      </c>
      <c r="F16" s="30" t="s">
        <v>47</v>
      </c>
      <c r="G16" s="30" t="s">
        <v>48</v>
      </c>
      <c r="H16" s="30" t="s">
        <v>49</v>
      </c>
      <c r="I16" s="30" t="s">
        <v>51</v>
      </c>
      <c r="J16" s="2"/>
    </row>
    <row r="17" customFormat="false" ht="15" hidden="false" customHeight="false" outlineLevel="0" collapsed="false">
      <c r="A17" s="12" t="s">
        <v>578</v>
      </c>
      <c r="B17" s="17" t="n">
        <v>15.2</v>
      </c>
      <c r="C17" s="17" t="n">
        <v>22</v>
      </c>
      <c r="D17" s="17" t="n">
        <v>25.8</v>
      </c>
      <c r="E17" s="17" t="n">
        <v>31.9</v>
      </c>
      <c r="F17" s="17" t="n">
        <v>38.7</v>
      </c>
      <c r="G17" s="17" t="n">
        <v>46.3</v>
      </c>
      <c r="H17" s="17" t="n">
        <v>48.6</v>
      </c>
      <c r="I17" s="17" t="n">
        <v>50.1</v>
      </c>
      <c r="J17" s="2"/>
    </row>
    <row r="18" customFormat="false" ht="15" hidden="false" customHeight="false" outlineLevel="0" collapsed="false">
      <c r="A18" s="12" t="s">
        <v>133</v>
      </c>
      <c r="B18" s="17" t="n">
        <v>2.9</v>
      </c>
      <c r="C18" s="17" t="n">
        <v>4</v>
      </c>
      <c r="D18" s="17" t="n">
        <v>4.4</v>
      </c>
      <c r="E18" s="17" t="n">
        <v>5.1</v>
      </c>
      <c r="F18" s="17" t="n">
        <v>5.9</v>
      </c>
      <c r="G18" s="17" t="n">
        <v>6.7</v>
      </c>
      <c r="H18" s="17" t="n">
        <v>7.8</v>
      </c>
      <c r="I18" s="17" t="n">
        <v>8.8</v>
      </c>
      <c r="J18" s="2"/>
    </row>
    <row r="19" customFormat="false" ht="15" hidden="false" customHeight="false" outlineLevel="0" collapsed="false">
      <c r="A19" s="12" t="s">
        <v>579</v>
      </c>
      <c r="B19" s="17" t="n">
        <v>0</v>
      </c>
      <c r="C19" s="17" t="n">
        <v>0</v>
      </c>
      <c r="D19" s="17" t="n">
        <v>7.8</v>
      </c>
      <c r="E19" s="17" t="n">
        <v>17.9</v>
      </c>
      <c r="F19" s="17" t="n">
        <v>30.3</v>
      </c>
      <c r="G19" s="17" t="n">
        <v>46.6</v>
      </c>
      <c r="H19" s="17" t="n">
        <v>48.2</v>
      </c>
      <c r="I19" s="17" t="n">
        <v>49.1</v>
      </c>
      <c r="J19" s="2"/>
    </row>
    <row r="20" customFormat="false" ht="15" hidden="false" customHeight="false" outlineLevel="0" collapsed="false">
      <c r="A20" s="12" t="s">
        <v>55</v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2.5</v>
      </c>
      <c r="I20" s="17" t="n">
        <v>7.2</v>
      </c>
      <c r="J20" s="2"/>
    </row>
    <row r="21" customFormat="false" ht="15" hidden="false" customHeight="false" outlineLevel="0" collapsed="false">
      <c r="A21" s="12" t="s">
        <v>56</v>
      </c>
      <c r="B21" s="17" t="n">
        <v>0</v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2.8</v>
      </c>
      <c r="I21" s="17" t="n">
        <v>6.9</v>
      </c>
      <c r="J21" s="2"/>
    </row>
    <row r="22" customFormat="false" ht="15" hidden="false" customHeight="false" outlineLevel="0" collapsed="false">
      <c r="A22" s="12" t="s">
        <v>397</v>
      </c>
      <c r="B22" s="17" t="n">
        <v>0</v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12.6</v>
      </c>
      <c r="I22" s="17" t="n">
        <v>21.6</v>
      </c>
      <c r="J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16" t="s">
        <v>580</v>
      </c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9" t="s">
        <v>66</v>
      </c>
      <c r="B25" s="29" t="s">
        <v>581</v>
      </c>
      <c r="C25" s="29" t="s">
        <v>71</v>
      </c>
      <c r="D25" s="29" t="s">
        <v>582</v>
      </c>
      <c r="E25" s="29" t="s">
        <v>583</v>
      </c>
      <c r="F25" s="2"/>
      <c r="G25" s="2"/>
      <c r="H25" s="2"/>
      <c r="I25" s="2"/>
      <c r="J25" s="2"/>
    </row>
    <row r="26" customFormat="false" ht="15" hidden="false" customHeight="false" outlineLevel="0" collapsed="false">
      <c r="A26" s="12" t="s">
        <v>89</v>
      </c>
      <c r="B26" s="23" t="n">
        <v>0.514</v>
      </c>
      <c r="C26" s="23" t="n">
        <v>0.5</v>
      </c>
      <c r="D26" s="27" t="str">
        <f aca="false">IF(B26&gt;C26,"초과 → 상한 적용","OK")</f>
        <v>초과 → 상한 적용</v>
      </c>
      <c r="E26" s="12" t="s">
        <v>584</v>
      </c>
      <c r="F26" s="2"/>
      <c r="G26" s="2"/>
      <c r="H26" s="2"/>
      <c r="I26" s="2"/>
      <c r="J26" s="2"/>
    </row>
    <row r="27" customFormat="false" ht="15" hidden="false" customHeight="false" outlineLevel="0" collapsed="false">
      <c r="A27" s="12" t="s">
        <v>99</v>
      </c>
      <c r="B27" s="23" t="n">
        <v>0.528</v>
      </c>
      <c r="C27" s="23" t="n">
        <v>0.4</v>
      </c>
      <c r="D27" s="27" t="str">
        <f aca="false">IF(B27&gt;C27,"초과 → 상한 적용","OK")</f>
        <v>초과 → 상한 적용</v>
      </c>
      <c r="E27" s="12" t="s">
        <v>585</v>
      </c>
      <c r="F27" s="2"/>
      <c r="G27" s="2"/>
      <c r="H27" s="2"/>
      <c r="I27" s="2"/>
      <c r="J27" s="2"/>
    </row>
    <row r="28" customFormat="false" ht="15" hidden="false" customHeight="false" outlineLevel="0" collapsed="false">
      <c r="A28" s="12" t="s">
        <v>93</v>
      </c>
      <c r="B28" s="23" t="n">
        <v>0.723</v>
      </c>
      <c r="C28" s="23" t="n">
        <v>0.6</v>
      </c>
      <c r="D28" s="27" t="str">
        <f aca="false">IF(B28&gt;C28,"초과 → 상한 적용","OK")</f>
        <v>초과 → 상한 적용</v>
      </c>
      <c r="E28" s="12" t="s">
        <v>584</v>
      </c>
      <c r="F28" s="2"/>
      <c r="G28" s="2"/>
      <c r="H28" s="2"/>
      <c r="I28" s="2"/>
      <c r="J28" s="2"/>
    </row>
    <row r="29" customFormat="false" ht="15" hidden="false" customHeight="false" outlineLevel="0" collapsed="false">
      <c r="A29" s="12" t="s">
        <v>91</v>
      </c>
      <c r="B29" s="23" t="n">
        <v>0.279</v>
      </c>
      <c r="C29" s="23" t="n">
        <v>0.5</v>
      </c>
      <c r="D29" s="27" t="str">
        <f aca="false">IF(B29&gt;C29,"초과 → 상한 적용","OK")</f>
        <v>OK</v>
      </c>
      <c r="E29" s="12" t="s">
        <v>586</v>
      </c>
      <c r="F29" s="2"/>
      <c r="G29" s="2"/>
      <c r="H29" s="2"/>
      <c r="I29" s="2"/>
      <c r="J29" s="2"/>
    </row>
    <row r="30" customFormat="false" ht="15" hidden="false" customHeight="false" outlineLevel="0" collapsed="false">
      <c r="A30" s="12" t="s">
        <v>105</v>
      </c>
      <c r="B30" s="23" t="n">
        <v>0.655</v>
      </c>
      <c r="C30" s="23" t="n">
        <v>0.5</v>
      </c>
      <c r="D30" s="27" t="str">
        <f aca="false">IF(B30&gt;C30,"초과 → 상한 적용","OK")</f>
        <v>초과 → 상한 적용</v>
      </c>
      <c r="E30" s="12" t="s">
        <v>586</v>
      </c>
      <c r="F30" s="2"/>
      <c r="G30" s="2"/>
      <c r="H30" s="2"/>
      <c r="I30" s="2"/>
      <c r="J30" s="2"/>
    </row>
    <row r="31" customFormat="false" ht="15" hidden="false" customHeight="false" outlineLevel="0" collapsed="false">
      <c r="A31" s="12" t="s">
        <v>103</v>
      </c>
      <c r="B31" s="23" t="n">
        <v>1.718</v>
      </c>
      <c r="C31" s="23" t="n">
        <v>0.8</v>
      </c>
      <c r="D31" s="27" t="str">
        <f aca="false">IF(B31&gt;C31,"초과 → 상한 적용","OK")</f>
        <v>초과 → 상한 적용</v>
      </c>
      <c r="E31" s="12" t="s">
        <v>585</v>
      </c>
      <c r="F31" s="2"/>
      <c r="G31" s="2"/>
      <c r="H31" s="2"/>
      <c r="I31" s="2"/>
      <c r="J31" s="2"/>
    </row>
    <row r="32" customFormat="false" ht="15" hidden="false" customHeight="false" outlineLevel="0" collapsed="false">
      <c r="A32" s="12" t="s">
        <v>95</v>
      </c>
      <c r="B32" s="23" t="n">
        <v>1.389</v>
      </c>
      <c r="C32" s="13" t="s">
        <v>78</v>
      </c>
      <c r="D32" s="12" t="s">
        <v>587</v>
      </c>
      <c r="E32" s="12" t="s">
        <v>588</v>
      </c>
      <c r="F32" s="2"/>
      <c r="G32" s="2"/>
      <c r="H32" s="2"/>
      <c r="I32" s="2"/>
      <c r="J32" s="2"/>
    </row>
    <row r="33" customFormat="false" ht="15" hidden="false" customHeight="false" outlineLevel="0" collapsed="false">
      <c r="A33" s="12" t="s">
        <v>97</v>
      </c>
      <c r="B33" s="23" t="n">
        <v>1.499</v>
      </c>
      <c r="C33" s="13" t="s">
        <v>78</v>
      </c>
      <c r="D33" s="12" t="s">
        <v>587</v>
      </c>
      <c r="E33" s="12" t="s">
        <v>584</v>
      </c>
      <c r="F33" s="2"/>
      <c r="G33" s="2"/>
      <c r="H33" s="2"/>
      <c r="I33" s="2"/>
      <c r="J33" s="2"/>
    </row>
    <row r="34" customFormat="false" ht="15" hidden="false" customHeight="false" outlineLevel="0" collapsed="false">
      <c r="A34" s="12" t="s">
        <v>101</v>
      </c>
      <c r="B34" s="23" t="n">
        <v>1.518</v>
      </c>
      <c r="C34" s="13" t="s">
        <v>78</v>
      </c>
      <c r="D34" s="12" t="s">
        <v>587</v>
      </c>
      <c r="E34" s="12" t="s">
        <v>584</v>
      </c>
      <c r="F34" s="2"/>
      <c r="G34" s="2"/>
      <c r="H34" s="2"/>
      <c r="I34" s="2"/>
      <c r="J34" s="2"/>
    </row>
    <row r="35" customFormat="false" ht="15" hidden="false" customHeight="false" outlineLevel="0" collapsed="false">
      <c r="A35" s="12" t="s">
        <v>84</v>
      </c>
      <c r="B35" s="23" t="n">
        <v>0.737</v>
      </c>
      <c r="C35" s="13" t="s">
        <v>78</v>
      </c>
      <c r="D35" s="12" t="s">
        <v>587</v>
      </c>
      <c r="E35" s="12" t="s">
        <v>585</v>
      </c>
      <c r="F35" s="2"/>
      <c r="G35" s="2"/>
      <c r="H35" s="2"/>
      <c r="I35" s="2"/>
      <c r="J35" s="2"/>
    </row>
    <row r="36" customFormat="false" ht="15" hidden="false" customHeight="false" outlineLevel="0" collapsed="false">
      <c r="A36" s="12" t="s">
        <v>87</v>
      </c>
      <c r="B36" s="23" t="n">
        <v>0.969</v>
      </c>
      <c r="C36" s="13" t="s">
        <v>78</v>
      </c>
      <c r="D36" s="12" t="s">
        <v>587</v>
      </c>
      <c r="E36" s="12" t="s">
        <v>585</v>
      </c>
      <c r="F36" s="2"/>
      <c r="G36" s="2"/>
      <c r="H36" s="2"/>
      <c r="I36" s="2"/>
      <c r="J36" s="2"/>
    </row>
    <row r="37" customFormat="false" ht="15" hidden="false" customHeight="false" outlineLevel="0" collapsed="false">
      <c r="A37" s="6" t="s">
        <v>589</v>
      </c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false" outlineLevel="0" collapsed="false">
      <c r="A39" s="16" t="s">
        <v>590</v>
      </c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" hidden="false" customHeight="false" outlineLevel="0" collapsed="false">
      <c r="A40" s="6" t="s">
        <v>591</v>
      </c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" hidden="false" customHeight="false" outlineLevel="0" collapsed="false">
      <c r="A41" s="29" t="s">
        <v>444</v>
      </c>
      <c r="B41" s="29" t="s">
        <v>54</v>
      </c>
      <c r="C41" s="30" t="s">
        <v>43</v>
      </c>
      <c r="D41" s="30" t="s">
        <v>44</v>
      </c>
      <c r="E41" s="30" t="s">
        <v>45</v>
      </c>
      <c r="F41" s="30" t="s">
        <v>46</v>
      </c>
      <c r="G41" s="30" t="s">
        <v>47</v>
      </c>
      <c r="H41" s="30" t="s">
        <v>48</v>
      </c>
      <c r="I41" s="30" t="s">
        <v>49</v>
      </c>
      <c r="J41" s="30" t="s">
        <v>51</v>
      </c>
    </row>
    <row r="42" customFormat="false" ht="15" hidden="false" customHeight="false" outlineLevel="0" collapsed="false">
      <c r="A42" s="13" t="s">
        <v>592</v>
      </c>
      <c r="B42" s="38" t="n">
        <v>0.389</v>
      </c>
      <c r="C42" s="39" t="n">
        <v>0.861</v>
      </c>
      <c r="D42" s="38" t="n">
        <v>0.889</v>
      </c>
      <c r="E42" s="38" t="n">
        <v>0.945</v>
      </c>
      <c r="F42" s="38" t="n">
        <v>0.972</v>
      </c>
      <c r="G42" s="38" t="n">
        <v>1</v>
      </c>
      <c r="H42" s="38" t="n">
        <v>1</v>
      </c>
      <c r="I42" s="38" t="n">
        <v>1</v>
      </c>
      <c r="J42" s="38" t="n">
        <v>1</v>
      </c>
    </row>
    <row r="43" customFormat="false" ht="15" hidden="false" customHeight="false" outlineLevel="0" collapsed="false">
      <c r="A43" s="13" t="s">
        <v>593</v>
      </c>
      <c r="B43" s="38" t="n">
        <v>0.389</v>
      </c>
      <c r="C43" s="38" t="n">
        <v>0.528</v>
      </c>
      <c r="D43" s="39" t="n">
        <v>0.833</v>
      </c>
      <c r="E43" s="38" t="n">
        <v>0.945</v>
      </c>
      <c r="F43" s="38" t="n">
        <v>1</v>
      </c>
      <c r="G43" s="38" t="n">
        <v>1</v>
      </c>
      <c r="H43" s="38" t="n">
        <v>1</v>
      </c>
      <c r="I43" s="38" t="n">
        <v>1</v>
      </c>
      <c r="J43" s="38" t="n">
        <v>1</v>
      </c>
    </row>
    <row r="44" customFormat="false" ht="15" hidden="false" customHeight="false" outlineLevel="0" collapsed="false">
      <c r="A44" s="13" t="s">
        <v>594</v>
      </c>
      <c r="B44" s="38" t="n">
        <v>0.25</v>
      </c>
      <c r="C44" s="38" t="n">
        <v>0.528</v>
      </c>
      <c r="D44" s="38" t="n">
        <v>0.611</v>
      </c>
      <c r="E44" s="39" t="n">
        <v>0.889</v>
      </c>
      <c r="F44" s="38" t="n">
        <v>1</v>
      </c>
      <c r="G44" s="38" t="n">
        <v>1</v>
      </c>
      <c r="H44" s="38" t="n">
        <v>1</v>
      </c>
      <c r="I44" s="38" t="n">
        <v>1</v>
      </c>
      <c r="J44" s="38" t="n">
        <v>1</v>
      </c>
    </row>
    <row r="45" customFormat="false" ht="15" hidden="false" customHeight="false" outlineLevel="0" collapsed="false">
      <c r="A45" s="13" t="s">
        <v>595</v>
      </c>
      <c r="B45" s="38" t="n">
        <v>0.056</v>
      </c>
      <c r="C45" s="38" t="n">
        <v>0.278</v>
      </c>
      <c r="D45" s="38" t="n">
        <v>0.417</v>
      </c>
      <c r="E45" s="38" t="n">
        <v>0.555</v>
      </c>
      <c r="F45" s="39" t="n">
        <v>0.861</v>
      </c>
      <c r="G45" s="38" t="n">
        <v>0.972</v>
      </c>
      <c r="H45" s="38" t="n">
        <v>1</v>
      </c>
      <c r="I45" s="38" t="n">
        <v>1</v>
      </c>
      <c r="J45" s="38" t="n">
        <v>1</v>
      </c>
    </row>
    <row r="46" customFormat="false" ht="15" hidden="false" customHeight="false" outlineLevel="0" collapsed="false">
      <c r="A46" s="13" t="s">
        <v>596</v>
      </c>
      <c r="B46" s="38" t="n">
        <v>0</v>
      </c>
      <c r="C46" s="38" t="n">
        <v>0.111</v>
      </c>
      <c r="D46" s="38" t="n">
        <v>0.194</v>
      </c>
      <c r="E46" s="38" t="n">
        <v>0.333</v>
      </c>
      <c r="F46" s="38" t="n">
        <v>0.639</v>
      </c>
      <c r="G46" s="39" t="n">
        <v>0.833</v>
      </c>
      <c r="H46" s="38" t="n">
        <v>0.972</v>
      </c>
      <c r="I46" s="38" t="n">
        <v>1</v>
      </c>
      <c r="J46" s="38" t="n">
        <v>1</v>
      </c>
    </row>
    <row r="47" customFormat="false" ht="15" hidden="false" customHeight="false" outlineLevel="0" collapsed="false">
      <c r="A47" s="13" t="s">
        <v>597</v>
      </c>
      <c r="B47" s="38" t="n">
        <v>0</v>
      </c>
      <c r="C47" s="38" t="n">
        <v>0</v>
      </c>
      <c r="D47" s="38" t="n">
        <v>0.028</v>
      </c>
      <c r="E47" s="38" t="n">
        <v>0.278</v>
      </c>
      <c r="F47" s="38" t="n">
        <v>0.278</v>
      </c>
      <c r="G47" s="38" t="n">
        <v>0.528</v>
      </c>
      <c r="H47" s="39" t="n">
        <v>0.917</v>
      </c>
      <c r="I47" s="38" t="n">
        <v>1</v>
      </c>
      <c r="J47" s="38" t="n">
        <v>1</v>
      </c>
    </row>
    <row r="48" customFormat="false" ht="15" hidden="false" customHeight="false" outlineLevel="0" collapsed="false">
      <c r="A48" s="13" t="s">
        <v>598</v>
      </c>
      <c r="B48" s="38" t="n">
        <v>0</v>
      </c>
      <c r="C48" s="38" t="n">
        <v>0</v>
      </c>
      <c r="D48" s="38" t="n">
        <v>0</v>
      </c>
      <c r="E48" s="38" t="n">
        <v>0</v>
      </c>
      <c r="F48" s="38" t="n">
        <v>0.028</v>
      </c>
      <c r="G48" s="38" t="n">
        <v>0.166</v>
      </c>
      <c r="H48" s="38" t="n">
        <v>0.445</v>
      </c>
      <c r="I48" s="39" t="n">
        <v>0.861</v>
      </c>
      <c r="J48" s="38" t="n">
        <v>0.972</v>
      </c>
    </row>
    <row r="49" customFormat="false" ht="15" hidden="false" customHeight="false" outlineLevel="0" collapsed="false">
      <c r="A49" s="13" t="s">
        <v>599</v>
      </c>
      <c r="B49" s="38" t="n">
        <v>0</v>
      </c>
      <c r="C49" s="38" t="n">
        <v>0</v>
      </c>
      <c r="D49" s="38" t="n">
        <v>0</v>
      </c>
      <c r="E49" s="38" t="n">
        <v>0</v>
      </c>
      <c r="F49" s="38" t="n">
        <v>0</v>
      </c>
      <c r="G49" s="38" t="n">
        <v>0.111</v>
      </c>
      <c r="H49" s="38" t="n">
        <v>0.278</v>
      </c>
      <c r="I49" s="38" t="n">
        <v>0.444</v>
      </c>
      <c r="J49" s="39" t="n">
        <v>0.889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false" outlineLevel="0" collapsed="false">
      <c r="A51" s="16" t="s">
        <v>600</v>
      </c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false" outlineLevel="0" collapsed="false">
      <c r="A52" s="6" t="s">
        <v>591</v>
      </c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false" outlineLevel="0" collapsed="false">
      <c r="A53" s="29" t="s">
        <v>444</v>
      </c>
      <c r="B53" s="29" t="s">
        <v>54</v>
      </c>
      <c r="C53" s="30" t="s">
        <v>43</v>
      </c>
      <c r="D53" s="30" t="s">
        <v>44</v>
      </c>
      <c r="E53" s="30" t="s">
        <v>45</v>
      </c>
      <c r="F53" s="30" t="s">
        <v>46</v>
      </c>
      <c r="G53" s="30" t="s">
        <v>47</v>
      </c>
      <c r="H53" s="30" t="s">
        <v>48</v>
      </c>
      <c r="I53" s="30" t="s">
        <v>49</v>
      </c>
      <c r="J53" s="30" t="s">
        <v>51</v>
      </c>
    </row>
    <row r="54" customFormat="false" ht="15" hidden="false" customHeight="false" outlineLevel="0" collapsed="false">
      <c r="A54" s="13" t="s">
        <v>592</v>
      </c>
      <c r="B54" s="38" t="n">
        <v>0.278</v>
      </c>
      <c r="C54" s="39" t="n">
        <v>0.445</v>
      </c>
      <c r="D54" s="38" t="n">
        <v>0.528</v>
      </c>
      <c r="E54" s="38" t="n">
        <v>0.722</v>
      </c>
      <c r="F54" s="38" t="n">
        <v>0.833</v>
      </c>
      <c r="G54" s="38" t="n">
        <v>0.889</v>
      </c>
      <c r="H54" s="38" t="n">
        <v>0.972</v>
      </c>
      <c r="I54" s="38" t="n">
        <v>1</v>
      </c>
      <c r="J54" s="38" t="n">
        <v>1</v>
      </c>
    </row>
    <row r="55" customFormat="false" ht="15" hidden="false" customHeight="false" outlineLevel="0" collapsed="false">
      <c r="A55" s="13" t="s">
        <v>593</v>
      </c>
      <c r="B55" s="38" t="n">
        <v>0.278</v>
      </c>
      <c r="C55" s="38" t="n">
        <v>0.361</v>
      </c>
      <c r="D55" s="39" t="n">
        <v>0.472</v>
      </c>
      <c r="E55" s="38" t="n">
        <v>0.583</v>
      </c>
      <c r="F55" s="38" t="n">
        <v>0.805</v>
      </c>
      <c r="G55" s="38" t="n">
        <v>0.861</v>
      </c>
      <c r="H55" s="38" t="n">
        <v>1</v>
      </c>
      <c r="I55" s="38" t="n">
        <v>1</v>
      </c>
      <c r="J55" s="38" t="n">
        <v>1</v>
      </c>
    </row>
    <row r="56" customFormat="false" ht="15" hidden="false" customHeight="false" outlineLevel="0" collapsed="false">
      <c r="A56" s="13" t="s">
        <v>594</v>
      </c>
      <c r="B56" s="38" t="n">
        <v>0.056</v>
      </c>
      <c r="C56" s="38" t="n">
        <v>0.361</v>
      </c>
      <c r="D56" s="38" t="n">
        <v>0.306</v>
      </c>
      <c r="E56" s="39" t="n">
        <v>0.556</v>
      </c>
      <c r="F56" s="38" t="n">
        <v>0.75</v>
      </c>
      <c r="G56" s="38" t="n">
        <v>0.861</v>
      </c>
      <c r="H56" s="38" t="n">
        <v>0.889</v>
      </c>
      <c r="I56" s="38" t="n">
        <v>1</v>
      </c>
      <c r="J56" s="38" t="n">
        <v>1</v>
      </c>
    </row>
    <row r="57" customFormat="false" ht="15" hidden="false" customHeight="false" outlineLevel="0" collapsed="false">
      <c r="A57" s="13" t="s">
        <v>595</v>
      </c>
      <c r="B57" s="38" t="n">
        <v>0</v>
      </c>
      <c r="C57" s="38" t="n">
        <v>0.167</v>
      </c>
      <c r="D57" s="38" t="n">
        <v>0.333</v>
      </c>
      <c r="E57" s="38" t="n">
        <v>0.25</v>
      </c>
      <c r="F57" s="39" t="n">
        <v>0.528</v>
      </c>
      <c r="G57" s="38" t="n">
        <v>0.667</v>
      </c>
      <c r="H57" s="38" t="n">
        <v>0.861</v>
      </c>
      <c r="I57" s="38" t="n">
        <v>1</v>
      </c>
      <c r="J57" s="38" t="n">
        <v>0.972</v>
      </c>
    </row>
    <row r="58" customFormat="false" ht="15" hidden="false" customHeight="false" outlineLevel="0" collapsed="false">
      <c r="A58" s="13" t="s">
        <v>596</v>
      </c>
      <c r="B58" s="38" t="n">
        <v>0</v>
      </c>
      <c r="C58" s="38" t="n">
        <v>0</v>
      </c>
      <c r="D58" s="38" t="n">
        <v>0.083</v>
      </c>
      <c r="E58" s="38" t="n">
        <v>0.25</v>
      </c>
      <c r="F58" s="38" t="n">
        <v>0.333</v>
      </c>
      <c r="G58" s="39" t="n">
        <v>0.444</v>
      </c>
      <c r="H58" s="38" t="n">
        <v>0.695</v>
      </c>
      <c r="I58" s="38" t="n">
        <v>0.889</v>
      </c>
      <c r="J58" s="38" t="n">
        <v>1</v>
      </c>
    </row>
    <row r="59" customFormat="false" ht="15" hidden="false" customHeight="false" outlineLevel="0" collapsed="false">
      <c r="A59" s="13" t="s">
        <v>597</v>
      </c>
      <c r="B59" s="38" t="n">
        <v>0</v>
      </c>
      <c r="C59" s="38" t="n">
        <v>0</v>
      </c>
      <c r="D59" s="38" t="n">
        <v>0</v>
      </c>
      <c r="E59" s="38" t="n">
        <v>0.056</v>
      </c>
      <c r="F59" s="38" t="n">
        <v>0.167</v>
      </c>
      <c r="G59" s="38" t="n">
        <v>0.278</v>
      </c>
      <c r="H59" s="39" t="n">
        <v>0.611</v>
      </c>
      <c r="I59" s="38" t="n">
        <v>0.861</v>
      </c>
      <c r="J59" s="38" t="n">
        <v>0.889</v>
      </c>
    </row>
    <row r="60" customFormat="false" ht="15" hidden="false" customHeight="false" outlineLevel="0" collapsed="false">
      <c r="A60" s="13" t="s">
        <v>598</v>
      </c>
      <c r="B60" s="38" t="n">
        <v>0</v>
      </c>
      <c r="C60" s="38" t="n">
        <v>0</v>
      </c>
      <c r="D60" s="38" t="n">
        <v>0</v>
      </c>
      <c r="E60" s="38" t="n">
        <v>0</v>
      </c>
      <c r="F60" s="38" t="n">
        <v>0.028</v>
      </c>
      <c r="G60" s="38" t="n">
        <v>0.139</v>
      </c>
      <c r="H60" s="38" t="n">
        <v>0.361</v>
      </c>
      <c r="I60" s="39" t="n">
        <v>0.528</v>
      </c>
      <c r="J60" s="38" t="n">
        <v>0.722</v>
      </c>
    </row>
    <row r="61" customFormat="false" ht="15" hidden="false" customHeight="false" outlineLevel="0" collapsed="false">
      <c r="A61" s="13" t="s">
        <v>599</v>
      </c>
      <c r="B61" s="38" t="n">
        <v>0</v>
      </c>
      <c r="C61" s="38" t="n">
        <v>0</v>
      </c>
      <c r="D61" s="38" t="n">
        <v>0</v>
      </c>
      <c r="E61" s="38" t="n">
        <v>0</v>
      </c>
      <c r="F61" s="38" t="n">
        <v>0</v>
      </c>
      <c r="G61" s="38" t="n">
        <v>0.056</v>
      </c>
      <c r="H61" s="38" t="n">
        <v>0.111</v>
      </c>
      <c r="I61" s="38" t="n">
        <v>0.333</v>
      </c>
      <c r="J61" s="39" t="n">
        <v>0.528</v>
      </c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" hidden="false" customHeight="false" outlineLevel="0" collapsed="false">
      <c r="A63" s="16" t="s">
        <v>601</v>
      </c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" hidden="false" customHeight="false" outlineLevel="0" collapsed="false">
      <c r="A64" s="29" t="s">
        <v>444</v>
      </c>
      <c r="B64" s="29" t="s">
        <v>602</v>
      </c>
      <c r="C64" s="29" t="s">
        <v>603</v>
      </c>
      <c r="D64" s="29" t="s">
        <v>604</v>
      </c>
      <c r="E64" s="29" t="s">
        <v>605</v>
      </c>
      <c r="F64" s="29" t="s">
        <v>606</v>
      </c>
      <c r="G64" s="2"/>
      <c r="H64" s="2"/>
      <c r="I64" s="2"/>
      <c r="J64" s="2"/>
    </row>
    <row r="65" customFormat="false" ht="15" hidden="false" customHeight="false" outlineLevel="0" collapsed="false">
      <c r="A65" s="13" t="s">
        <v>461</v>
      </c>
      <c r="B65" s="13" t="s">
        <v>43</v>
      </c>
      <c r="C65" s="38" t="n">
        <v>0.86</v>
      </c>
      <c r="D65" s="38" t="n">
        <v>0.44</v>
      </c>
      <c r="E65" s="40" t="n">
        <f aca="false">C65-D65</f>
        <v>0.42</v>
      </c>
      <c r="F65" s="13" t="s">
        <v>607</v>
      </c>
      <c r="G65" s="2"/>
      <c r="H65" s="2"/>
      <c r="I65" s="2"/>
      <c r="J65" s="2"/>
    </row>
    <row r="66" customFormat="false" ht="15" hidden="false" customHeight="false" outlineLevel="0" collapsed="false">
      <c r="A66" s="13" t="s">
        <v>462</v>
      </c>
      <c r="B66" s="13" t="s">
        <v>44</v>
      </c>
      <c r="C66" s="38" t="n">
        <v>0.83</v>
      </c>
      <c r="D66" s="38" t="n">
        <v>0.47</v>
      </c>
      <c r="E66" s="40" t="n">
        <f aca="false">C66-D66</f>
        <v>0.36</v>
      </c>
      <c r="F66" s="13" t="s">
        <v>608</v>
      </c>
      <c r="G66" s="2"/>
      <c r="H66" s="2"/>
      <c r="I66" s="2"/>
      <c r="J66" s="2"/>
    </row>
    <row r="67" customFormat="false" ht="15" hidden="false" customHeight="false" outlineLevel="0" collapsed="false">
      <c r="A67" s="13" t="s">
        <v>463</v>
      </c>
      <c r="B67" s="13" t="s">
        <v>45</v>
      </c>
      <c r="C67" s="38" t="n">
        <v>0.89</v>
      </c>
      <c r="D67" s="38" t="n">
        <v>0.56</v>
      </c>
      <c r="E67" s="40" t="n">
        <f aca="false">C67-D67</f>
        <v>0.33</v>
      </c>
      <c r="F67" s="13" t="s">
        <v>609</v>
      </c>
      <c r="G67" s="2"/>
      <c r="H67" s="2"/>
      <c r="I67" s="2"/>
      <c r="J67" s="2"/>
    </row>
    <row r="68" customFormat="false" ht="15" hidden="false" customHeight="false" outlineLevel="0" collapsed="false">
      <c r="A68" s="13" t="s">
        <v>464</v>
      </c>
      <c r="B68" s="13" t="s">
        <v>46</v>
      </c>
      <c r="C68" s="38" t="n">
        <v>0.86</v>
      </c>
      <c r="D68" s="38" t="n">
        <v>0.53</v>
      </c>
      <c r="E68" s="40" t="n">
        <f aca="false">C68-D68</f>
        <v>0.33</v>
      </c>
      <c r="F68" s="13" t="s">
        <v>609</v>
      </c>
      <c r="G68" s="2"/>
      <c r="H68" s="2"/>
      <c r="I68" s="2"/>
      <c r="J68" s="2"/>
    </row>
    <row r="69" customFormat="false" ht="15" hidden="false" customHeight="false" outlineLevel="0" collapsed="false">
      <c r="A69" s="13" t="s">
        <v>465</v>
      </c>
      <c r="B69" s="13" t="s">
        <v>47</v>
      </c>
      <c r="C69" s="38" t="n">
        <v>0.83</v>
      </c>
      <c r="D69" s="38" t="n">
        <v>0.44</v>
      </c>
      <c r="E69" s="40" t="n">
        <f aca="false">C69-D69</f>
        <v>0.39</v>
      </c>
      <c r="F69" s="13" t="s">
        <v>609</v>
      </c>
      <c r="G69" s="2"/>
      <c r="H69" s="2"/>
      <c r="I69" s="2"/>
      <c r="J69" s="2"/>
    </row>
    <row r="70" customFormat="false" ht="15" hidden="false" customHeight="false" outlineLevel="0" collapsed="false">
      <c r="A70" s="13" t="s">
        <v>466</v>
      </c>
      <c r="B70" s="13" t="s">
        <v>48</v>
      </c>
      <c r="C70" s="38" t="n">
        <v>0.92</v>
      </c>
      <c r="D70" s="38" t="n">
        <v>0.61</v>
      </c>
      <c r="E70" s="40" t="n">
        <f aca="false">C70-D70</f>
        <v>0.31</v>
      </c>
      <c r="F70" s="13" t="s">
        <v>610</v>
      </c>
      <c r="G70" s="2"/>
      <c r="H70" s="2"/>
      <c r="I70" s="2"/>
      <c r="J70" s="2"/>
    </row>
    <row r="71" customFormat="false" ht="15" hidden="false" customHeight="false" outlineLevel="0" collapsed="false">
      <c r="A71" s="13" t="s">
        <v>467</v>
      </c>
      <c r="B71" s="13" t="s">
        <v>49</v>
      </c>
      <c r="C71" s="38" t="n">
        <v>0.86</v>
      </c>
      <c r="D71" s="38" t="n">
        <v>0.53</v>
      </c>
      <c r="E71" s="40" t="n">
        <f aca="false">C71-D71</f>
        <v>0.33</v>
      </c>
      <c r="F71" s="12" t="s">
        <v>611</v>
      </c>
      <c r="G71" s="2"/>
      <c r="H71" s="2"/>
      <c r="I71" s="2"/>
      <c r="J71" s="2"/>
    </row>
    <row r="72" customFormat="false" ht="15" hidden="false" customHeight="false" outlineLevel="0" collapsed="false">
      <c r="A72" s="13" t="s">
        <v>468</v>
      </c>
      <c r="B72" s="13" t="s">
        <v>51</v>
      </c>
      <c r="C72" s="38" t="n">
        <v>0.89</v>
      </c>
      <c r="D72" s="38" t="n">
        <v>0.53</v>
      </c>
      <c r="E72" s="40" t="n">
        <f aca="false">C72-D72</f>
        <v>0.36</v>
      </c>
      <c r="F72" s="12" t="s">
        <v>611</v>
      </c>
      <c r="G72" s="2"/>
      <c r="H72" s="2"/>
      <c r="I72" s="2"/>
      <c r="J72" s="2"/>
    </row>
    <row r="73" customFormat="false" ht="15" hidden="false" customHeight="false" outlineLevel="0" collapsed="false">
      <c r="A73" s="6" t="s">
        <v>612</v>
      </c>
      <c r="B73" s="2"/>
      <c r="C73" s="2"/>
      <c r="D73" s="2"/>
      <c r="E73" s="2"/>
      <c r="F73" s="2"/>
      <c r="G73" s="2"/>
      <c r="H73" s="2"/>
      <c r="I73" s="2"/>
      <c r="J7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2026-10-08T13:05:10Z</dcterms:created>
  <dc:creator>openpyxl</dc:creator>
  <dc:description/>
  <dc:language>en-US</dc:language>
  <cp:lastModifiedBy/>
  <dcterms:modified xsi:type="dcterms:W3CDTF">2026-10-08T13:05:10Z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